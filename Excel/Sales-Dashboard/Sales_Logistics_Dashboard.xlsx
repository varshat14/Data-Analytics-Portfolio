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00587YH\Documents\Excel\"/>
    </mc:Choice>
  </mc:AlternateContent>
  <xr:revisionPtr revIDLastSave="0" documentId="8_{77524546-C514-420D-ABBA-3EEA0276CA64}" xr6:coauthVersionLast="47" xr6:coauthVersionMax="47" xr10:uidLastSave="{00000000-0000-0000-0000-000000000000}"/>
  <bookViews>
    <workbookView xWindow="-120" yWindow="-120" windowWidth="29040" windowHeight="17520" activeTab="5" xr2:uid="{346724B3-1C49-40AE-AA36-C77CF5D6DD09}"/>
  </bookViews>
  <sheets>
    <sheet name="Sheet3" sheetId="7" r:id="rId1"/>
    <sheet name="Data" sheetId="1" r:id="rId2"/>
    <sheet name="Questions &amp; KPIs" sheetId="2" r:id="rId3"/>
    <sheet name="Logo &amp; Colors" sheetId="4" r:id="rId4"/>
    <sheet name="Pivot" sheetId="5" r:id="rId5"/>
    <sheet name="Dashboard" sheetId="6" r:id="rId6"/>
  </sheets>
  <definedNames>
    <definedName name="_xlchart.v5.0" hidden="1">Sheet3!$P$18:$Q$18</definedName>
    <definedName name="_xlchart.v5.1" hidden="1">Sheet3!$P$19:$Q$76</definedName>
    <definedName name="_xlchart.v5.2" hidden="1">Sheet3!$R$18</definedName>
    <definedName name="_xlchart.v5.3" hidden="1">Sheet3!$R$19:$R$76</definedName>
    <definedName name="Slicer_Gender_Value">#N/A</definedName>
    <definedName name="Slicer_Order_Mode">#N/A</definedName>
    <definedName name="Slicer_Product">#N/A</definedName>
    <definedName name="Slicer_Rating_C">#N/A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7" l="1"/>
  <c r="R20" i="7"/>
  <c r="Q21" i="7"/>
  <c r="R21" i="7"/>
  <c r="Q22" i="7"/>
  <c r="R22" i="7"/>
  <c r="Q23" i="7"/>
  <c r="R23" i="7"/>
  <c r="Q24" i="7"/>
  <c r="R24" i="7"/>
  <c r="Q25" i="7"/>
  <c r="R25" i="7"/>
  <c r="Q26" i="7"/>
  <c r="R26" i="7"/>
  <c r="Q27" i="7"/>
  <c r="R27" i="7"/>
  <c r="Q28" i="7"/>
  <c r="R28" i="7"/>
  <c r="Q29" i="7"/>
  <c r="R29" i="7"/>
  <c r="Q30" i="7"/>
  <c r="R30" i="7"/>
  <c r="Q31" i="7"/>
  <c r="R31" i="7"/>
  <c r="Q32" i="7"/>
  <c r="R32" i="7"/>
  <c r="Q33" i="7"/>
  <c r="R33" i="7"/>
  <c r="Q34" i="7"/>
  <c r="R34" i="7"/>
  <c r="Q35" i="7"/>
  <c r="R35" i="7"/>
  <c r="Q36" i="7"/>
  <c r="R36" i="7"/>
  <c r="Q37" i="7"/>
  <c r="R37" i="7"/>
  <c r="Q38" i="7"/>
  <c r="R38" i="7"/>
  <c r="Q39" i="7"/>
  <c r="R39" i="7"/>
  <c r="Q40" i="7"/>
  <c r="R40" i="7"/>
  <c r="Q41" i="7"/>
  <c r="R41" i="7"/>
  <c r="Q42" i="7"/>
  <c r="R42" i="7"/>
  <c r="Q43" i="7"/>
  <c r="R43" i="7"/>
  <c r="Q44" i="7"/>
  <c r="R44" i="7"/>
  <c r="Q45" i="7"/>
  <c r="R45" i="7"/>
  <c r="Q46" i="7"/>
  <c r="R46" i="7"/>
  <c r="Q47" i="7"/>
  <c r="R47" i="7"/>
  <c r="Q48" i="7"/>
  <c r="R48" i="7"/>
  <c r="Q49" i="7"/>
  <c r="R49" i="7"/>
  <c r="Q50" i="7"/>
  <c r="R50" i="7"/>
  <c r="Q51" i="7"/>
  <c r="R51" i="7"/>
  <c r="Q52" i="7"/>
  <c r="R52" i="7"/>
  <c r="Q53" i="7"/>
  <c r="R53" i="7"/>
  <c r="Q54" i="7"/>
  <c r="R54" i="7"/>
  <c r="Q55" i="7"/>
  <c r="R55" i="7"/>
  <c r="Q56" i="7"/>
  <c r="R56" i="7"/>
  <c r="Q57" i="7"/>
  <c r="R57" i="7"/>
  <c r="Q58" i="7"/>
  <c r="R58" i="7"/>
  <c r="Q59" i="7"/>
  <c r="R59" i="7"/>
  <c r="Q60" i="7"/>
  <c r="R60" i="7"/>
  <c r="Q61" i="7"/>
  <c r="R61" i="7"/>
  <c r="Q62" i="7"/>
  <c r="R62" i="7"/>
  <c r="Q63" i="7"/>
  <c r="R63" i="7"/>
  <c r="Q64" i="7"/>
  <c r="R64" i="7"/>
  <c r="Q65" i="7"/>
  <c r="R65" i="7"/>
  <c r="Q66" i="7"/>
  <c r="R66" i="7"/>
  <c r="Q67" i="7"/>
  <c r="R67" i="7"/>
  <c r="Q68" i="7"/>
  <c r="R68" i="7"/>
  <c r="Q69" i="7"/>
  <c r="R69" i="7"/>
  <c r="Q70" i="7"/>
  <c r="R70" i="7"/>
  <c r="Q71" i="7"/>
  <c r="R71" i="7"/>
  <c r="Q72" i="7"/>
  <c r="R72" i="7"/>
  <c r="Q73" i="7"/>
  <c r="R73" i="7"/>
  <c r="Q74" i="7"/>
  <c r="R74" i="7"/>
  <c r="Q75" i="7"/>
  <c r="R75" i="7"/>
  <c r="Q76" i="7"/>
  <c r="R76" i="7"/>
  <c r="R19" i="7"/>
  <c r="Q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19" i="7"/>
  <c r="Q18" i="7"/>
  <c r="R18" i="7"/>
  <c r="P18" i="7"/>
  <c r="O14" i="5"/>
  <c r="P14" i="5"/>
  <c r="Q14" i="5"/>
  <c r="O13" i="5"/>
  <c r="P13" i="5"/>
  <c r="Q13" i="5"/>
  <c r="N13" i="5"/>
  <c r="N14" i="5"/>
  <c r="N15" i="5"/>
  <c r="O15" i="5"/>
  <c r="P15" i="5"/>
  <c r="Q15" i="5"/>
  <c r="N16" i="5"/>
  <c r="O16" i="5"/>
  <c r="P16" i="5"/>
  <c r="Q16" i="5"/>
  <c r="N17" i="5"/>
  <c r="O17" i="5"/>
  <c r="P17" i="5"/>
  <c r="Q17" i="5"/>
  <c r="N18" i="5"/>
  <c r="O18" i="5"/>
  <c r="P18" i="5"/>
  <c r="Q18" i="5"/>
  <c r="M15" i="5"/>
  <c r="M16" i="5"/>
  <c r="M17" i="5"/>
  <c r="M18" i="5"/>
  <c r="M14" i="5"/>
  <c r="K5" i="5"/>
  <c r="L5" i="5"/>
  <c r="J5" i="5"/>
  <c r="I5" i="5"/>
  <c r="H5"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c r="O2099" i="1" a="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c r="O1963" i="1" a="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c r="O1817" i="1" a="1"/>
  <c r="N1817" i="1"/>
  <c r="M1817" i="1"/>
  <c r="O1816" i="1" a="1"/>
  <c r="O1816" i="1" s="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a="1"/>
  <c r="O1356" i="1" s="1"/>
  <c r="N1356" i="1"/>
  <c r="M1356" i="1"/>
  <c r="O1355" i="1"/>
  <c r="O1355" i="1" a="1"/>
  <c r="N1355" i="1"/>
  <c r="M1355" i="1"/>
  <c r="O1354" i="1" a="1"/>
  <c r="O1354" i="1" s="1"/>
  <c r="N1354" i="1"/>
  <c r="M1354" i="1"/>
  <c r="O1353" i="1" a="1"/>
  <c r="O1353" i="1" s="1"/>
  <c r="N1353" i="1"/>
  <c r="M1353" i="1"/>
  <c r="O1352" i="1"/>
  <c r="O1352" i="1" a="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<sst xmlns="http://schemas.openxmlformats.org/spreadsheetml/2006/main" count="14726" uniqueCount="2573">
  <si>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</si>
  <si>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</si>
  <si>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</si>
  <si>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</si>
  <si>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</si>
  <si>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</si>
  <si>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</si>
  <si>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</si>
  <si>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</si>
  <si>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</si>
  <si>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</si>
  <si>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</si>
  <si>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</si>
  <si>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</si>
  <si>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</si>
  <si>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</si>
  <si>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</si>
  <si>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</si>
  <si>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</si>
  <si>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</si>
  <si>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</si>
  <si>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</si>
  <si>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</si>
  <si>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</si>
  <si>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</si>
  <si>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</si>
  <si>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</si>
  <si>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</si>
  <si>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</si>
  <si>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</si>
  <si>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</si>
  <si>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</si>
  <si>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</si>
  <si>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</si>
  <si>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</si>
  <si>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</si>
  <si>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</si>
  <si>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</si>
  <si>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</si>
  <si>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</si>
  <si>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</si>
  <si>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</si>
  <si>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</si>
  <si>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</si>
  <si>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</si>
  <si>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</si>
  <si>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</si>
  <si>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</si>
  <si>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</si>
  <si>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</si>
  <si>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</si>
  <si>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</si>
  <si>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</si>
  <si>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</si>
  <si>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</si>
  <si>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</si>
  <si>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</si>
  <si>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</si>
  <si>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</si>
  <si>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</si>
  <si>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</si>
  <si>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</si>
  <si>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</si>
  <si>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</si>
  <si>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</si>
  <si>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</si>
  <si>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</si>
  <si>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</si>
  <si>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</si>
  <si>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</si>
  <si>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</si>
  <si>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</si>
  <si>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</si>
  <si>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</si>
  <si>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</si>
  <si>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</si>
  <si>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</si>
  <si>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</si>
  <si>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</si>
  <si>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</si>
  <si>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</si>
  <si>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</si>
  <si>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</si>
  <si>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</si>
  <si>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</si>
  <si>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</si>
  <si>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</si>
  <si>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</si>
  <si>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</si>
  <si>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</si>
  <si>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</si>
  <si>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</si>
  <si>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</si>
  <si>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</si>
  <si>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</si>
  <si>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</si>
  <si>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</si>
  <si>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</si>
  <si>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</si>
  <si>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</si>
  <si>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</si>
  <si>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</si>
  <si>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</si>
  <si>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</si>
  <si>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</si>
  <si>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</si>
  <si>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</si>
  <si>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</si>
  <si>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</si>
  <si>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</si>
  <si>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</si>
  <si>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</si>
  <si>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</si>
  <si>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</si>
  <si>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</si>
  <si>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</si>
  <si>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</si>
  <si>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</si>
  <si>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</si>
  <si>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</si>
  <si>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</si>
  <si>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</si>
  <si>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</si>
  <si>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</si>
  <si>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</si>
  <si>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</si>
  <si>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</si>
  <si>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</si>
  <si>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</si>
  <si>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</si>
  <si>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</si>
  <si>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</si>
  <si>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</si>
  <si>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</si>
  <si>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</si>
  <si>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</si>
  <si>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</si>
  <si>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</si>
  <si>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</si>
  <si>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</si>
  <si>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</si>
  <si>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</si>
  <si>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</si>
  <si>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</si>
  <si>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</si>
  <si>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</si>
  <si>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</si>
  <si>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</si>
  <si>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</si>
  <si>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</si>
  <si>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</si>
  <si>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</si>
  <si>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</si>
  <si>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</si>
  <si>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</si>
  <si>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</si>
  <si>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</si>
  <si>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</si>
  <si>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</si>
  <si>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</si>
  <si>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</si>
  <si>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</si>
  <si>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</si>
  <si>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</si>
  <si>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</si>
  <si>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</si>
  <si>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</si>
  <si>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</si>
  <si>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</si>
  <si>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</si>
  <si>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</si>
  <si>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</si>
  <si>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</si>
  <si>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</si>
  <si>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</si>
  <si>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</si>
  <si>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</si>
  <si>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</si>
  <si>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</si>
  <si>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</si>
  <si>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</si>
  <si>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</si>
  <si>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</si>
  <si>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</si>
  <si>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</si>
  <si>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</si>
  <si>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</si>
  <si>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</si>
  <si>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</si>
  <si>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</si>
  <si>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</si>
  <si>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</si>
  <si>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</si>
  <si>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</si>
  <si>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</si>
  <si>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</si>
  <si>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</si>
  <si>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</si>
  <si>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</si>
  <si>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</si>
  <si>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</si>
  <si>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</si>
  <si>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</si>
  <si>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</si>
  <si>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</si>
  <si>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</si>
  <si>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</si>
  <si>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</si>
  <si>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</si>
  <si>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</si>
  <si>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</si>
  <si>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</si>
  <si>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</si>
  <si>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</si>
  <si>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</si>
  <si>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</si>
  <si>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</si>
  <si>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</si>
  <si>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</si>
  <si>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</si>
  <si>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</si>
  <si>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</si>
  <si>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</si>
  <si>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</si>
  <si>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</si>
  <si>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</si>
  <si>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</si>
  <si>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</si>
  <si>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</si>
  <si>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</si>
  <si>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</si>
  <si>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</si>
  <si>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</si>
  <si>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</si>
  <si>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</si>
  <si>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</si>
  <si>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</si>
  <si>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</si>
  <si>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</si>
  <si>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</si>
  <si>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</si>
  <si>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</si>
  <si>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</si>
  <si>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</si>
  <si>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</si>
  <si>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</si>
  <si>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</si>
  <si>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</si>
  <si>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</si>
  <si>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</si>
  <si>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</si>
  <si>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</si>
  <si>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</si>
  <si>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</si>
  <si>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</si>
  <si>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</si>
  <si>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</si>
  <si>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</si>
  <si>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</si>
  <si>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</si>
  <si>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</si>
  <si>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</si>
  <si>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</si>
  <si>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</si>
  <si>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</si>
  <si>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</si>
  <si>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</si>
  <si>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</si>
  <si>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</si>
  <si>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</si>
  <si>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</si>
  <si>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</si>
  <si>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</si>
  <si>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</si>
  <si>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</si>
  <si>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</si>
  <si>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</si>
  <si>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</si>
  <si>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</si>
  <si>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</si>
  <si>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</si>
  <si>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</si>
  <si>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</si>
  <si>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</si>
  <si>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</si>
  <si>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</si>
  <si>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</si>
  <si>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</si>
  <si>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</si>
  <si>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</si>
  <si>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</si>
  <si>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</si>
  <si>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</si>
  <si>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</si>
  <si>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</si>
  <si>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</si>
  <si>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</si>
  <si>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</si>
  <si>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</si>
  <si>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</si>
  <si>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</si>
  <si>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</si>
  <si>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</si>
  <si>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</si>
  <si>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</si>
  <si>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</si>
  <si>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</si>
  <si>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</si>
  <si>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</si>
  <si>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</si>
  <si>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</si>
  <si>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</si>
  <si>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</si>
  <si>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</si>
  <si>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</si>
  <si>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</si>
  <si>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</si>
  <si>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</si>
  <si>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</si>
  <si>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</si>
  <si>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</si>
  <si>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</si>
  <si>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</si>
  <si>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</si>
  <si>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</si>
  <si>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</si>
  <si>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</si>
  <si>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</si>
  <si>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</si>
  <si>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</si>
  <si>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</si>
  <si>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</si>
  <si>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</si>
  <si>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</si>
  <si>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</si>
  <si>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</si>
  <si>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</si>
  <si>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</si>
  <si>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</si>
  <si>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</si>
  <si>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</si>
  <si>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</si>
  <si>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</si>
  <si>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</si>
  <si>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</si>
  <si>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</si>
  <si>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</si>
  <si>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</si>
  <si>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</si>
  <si>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</si>
  <si>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</si>
  <si>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</si>
  <si>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</si>
  <si>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</si>
  <si>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</si>
  <si>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</si>
  <si>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</si>
  <si>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</si>
  <si>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</si>
  <si>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</si>
  <si>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</si>
  <si>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</si>
  <si>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</si>
  <si>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</si>
  <si>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</si>
  <si>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</si>
  <si>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</si>
  <si>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</si>
  <si>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</si>
  <si>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</si>
  <si>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</si>
  <si>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</si>
  <si>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</si>
  <si>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</si>
  <si>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</si>
  <si>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</si>
  <si>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</si>
  <si>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</si>
  <si>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</si>
  <si>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</si>
  <si>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</si>
  <si>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</si>
  <si>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</si>
  <si>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</si>
  <si>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</si>
  <si>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</si>
  <si>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</si>
  <si>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</si>
  <si>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</si>
  <si>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</si>
  <si>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</si>
  <si>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</si>
  <si>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</si>
  <si>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</si>
  <si>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</si>
  <si>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</si>
  <si>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</si>
  <si>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</si>
  <si>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</si>
  <si>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</si>
  <si>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</si>
  <si>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</si>
  <si>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</si>
  <si>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</si>
  <si>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</si>
  <si>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</si>
  <si>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</si>
  <si>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</si>
  <si>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</si>
  <si>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</si>
  <si>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</si>
  <si>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</si>
  <si>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</si>
  <si>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</si>
  <si>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</si>
  <si>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</si>
  <si>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</si>
  <si>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</si>
  <si>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</si>
  <si>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</si>
  <si>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</si>
  <si>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</si>
  <si>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</si>
  <si>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</si>
  <si>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</si>
  <si>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</si>
  <si>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</si>
  <si>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</si>
  <si>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</si>
  <si>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</si>
  <si>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</si>
  <si>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</si>
  <si>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</si>
  <si>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</si>
  <si>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</si>
  <si>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</si>
  <si>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</si>
  <si>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</si>
  <si>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</si>
  <si>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</si>
  <si>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</si>
  <si>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</si>
  <si>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</si>
  <si>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</si>
  <si>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</si>
  <si>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</si>
  <si>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</si>
  <si>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</si>
  <si>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</si>
  <si>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</si>
  <si>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</si>
  <si>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</si>
  <si>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</si>
  <si>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</si>
  <si>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</si>
  <si>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</si>
  <si>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</si>
  <si>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</si>
  <si>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</si>
  <si>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</si>
  <si>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</si>
  <si>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</si>
  <si>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</si>
  <si>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</si>
  <si>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</si>
  <si>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</si>
  <si>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</si>
  <si>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</si>
  <si>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</si>
  <si>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</si>
  <si>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</si>
  <si>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</si>
  <si>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</si>
  <si>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</si>
  <si>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</si>
  <si>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</si>
  <si>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</si>
  <si>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</si>
  <si>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</si>
  <si>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</si>
  <si>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</si>
  <si>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</si>
  <si>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</si>
  <si>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</si>
  <si>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</si>
  <si>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</si>
  <si>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</si>
  <si>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</si>
  <si>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</si>
  <si>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</si>
  <si>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</si>
  <si>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</si>
  <si>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</si>
  <si>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</si>
  <si>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</si>
  <si>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</si>
  <si>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</si>
  <si>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</si>
  <si>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</si>
  <si>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</si>
  <si>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</si>
  <si>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</si>
  <si>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</si>
  <si>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</si>
  <si>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</si>
  <si>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</si>
  <si>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</si>
  <si>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</si>
  <si>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</si>
  <si>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</si>
  <si>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</si>
  <si>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</si>
  <si>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</si>
  <si>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</si>
  <si>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</si>
  <si>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</si>
  <si>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</si>
  <si>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</si>
  <si>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</si>
  <si>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</si>
  <si>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</si>
  <si>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</si>
  <si>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</si>
  <si>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</si>
  <si>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</si>
  <si>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</si>
  <si>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</si>
  <si>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</si>
  <si>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</si>
  <si>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</si>
  <si>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</si>
  <si>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</si>
  <si>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</si>
  <si>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</si>
  <si>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</si>
  <si>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</si>
  <si>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</si>
  <si>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</si>
  <si>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</si>
  <si>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</si>
  <si>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</si>
  <si>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</si>
  <si>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</si>
  <si>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</si>
  <si>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</si>
  <si>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</si>
  <si>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</si>
  <si>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</si>
  <si>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</si>
  <si>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</si>
  <si>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</si>
  <si>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</si>
  <si>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</si>
  <si>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</si>
  <si>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</si>
  <si>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</si>
  <si>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</si>
  <si>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</si>
  <si>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</si>
  <si>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</si>
  <si>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</si>
  <si>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</si>
  <si>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</si>
  <si>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</si>
  <si>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</si>
  <si>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</si>
  <si>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</si>
  <si>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</si>
  <si>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</si>
  <si>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</si>
  <si>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</si>
  <si>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</si>
  <si>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</si>
  <si>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</si>
  <si>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</si>
  <si>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</si>
  <si>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</si>
  <si>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</si>
  <si>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</si>
  <si>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</si>
  <si>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</si>
  <si>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</si>
  <si>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</si>
  <si>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</si>
  <si>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</si>
  <si>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</si>
  <si>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</si>
  <si>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</si>
  <si>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</si>
  <si>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</si>
  <si>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</si>
  <si>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</si>
  <si>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</si>
  <si>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</si>
  <si>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</si>
  <si>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</si>
  <si>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</si>
  <si>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</si>
  <si>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</si>
  <si>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</si>
  <si>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</si>
  <si>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</si>
  <si>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</si>
  <si>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</si>
  <si>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</si>
  <si>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</si>
  <si>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</si>
  <si>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</si>
  <si>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</si>
  <si>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</si>
  <si>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</si>
  <si>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</si>
  <si>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</si>
  <si>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</si>
  <si>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</si>
  <si>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</si>
  <si>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</si>
  <si>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</si>
  <si>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</si>
  <si>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</si>
  <si>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</si>
  <si>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</si>
  <si>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</si>
  <si>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</si>
  <si>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</si>
  <si>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</si>
  <si>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</si>
  <si>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</si>
  <si>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</si>
  <si>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</si>
  <si>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</si>
  <si>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</si>
  <si>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</si>
  <si>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</si>
  <si>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</si>
  <si>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</si>
  <si>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</si>
  <si>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</si>
  <si>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</si>
  <si>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</si>
  <si>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</si>
  <si>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</si>
  <si>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</si>
  <si>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</si>
  <si>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</si>
  <si>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</si>
  <si>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</si>
  <si>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</si>
  <si>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</si>
  <si>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</si>
  <si>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</si>
  <si>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</si>
  <si>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</si>
  <si>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</si>
  <si>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</si>
  <si>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</si>
  <si>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</si>
  <si>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</si>
  <si>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</si>
  <si>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</si>
  <si>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</si>
  <si>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</si>
  <si>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</si>
  <si>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</si>
  <si>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</si>
  <si>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</si>
  <si>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</si>
  <si>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</si>
  <si>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</si>
  <si>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</si>
  <si>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</si>
  <si>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</si>
  <si>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</si>
  <si>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</si>
  <si>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</si>
  <si>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</si>
  <si>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</si>
  <si>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</si>
  <si>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</si>
  <si>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</si>
  <si>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</si>
  <si>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</si>
  <si>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</si>
  <si>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</si>
  <si>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</si>
  <si>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</si>
  <si>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</si>
  <si>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</si>
  <si>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</si>
  <si>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</si>
  <si>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</si>
  <si>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</si>
  <si>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</si>
  <si>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</si>
  <si>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</si>
  <si>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</si>
  <si>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</si>
  <si>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</si>
  <si>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</si>
  <si>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</si>
  <si>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</si>
  <si>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</si>
  <si>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</si>
  <si>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</si>
  <si>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</si>
  <si>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</si>
  <si>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</si>
  <si>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</si>
  <si>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</si>
  <si>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</si>
  <si>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</si>
  <si>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</si>
  <si>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</si>
  <si>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</si>
  <si>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</si>
  <si>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</si>
  <si>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</si>
  <si>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</si>
  <si>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</si>
  <si>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</si>
  <si>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</si>
  <si>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</si>
  <si>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</si>
  <si>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</si>
  <si>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</si>
  <si>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</si>
  <si>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</si>
  <si>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</si>
  <si>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</si>
  <si>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</si>
  <si>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</si>
  <si>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</si>
  <si>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</si>
  <si>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</si>
  <si>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</si>
  <si>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</si>
  <si>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</si>
  <si>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</si>
  <si>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</si>
  <si>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</si>
  <si>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</si>
  <si>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</si>
  <si>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</si>
  <si>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</si>
  <si>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</si>
  <si>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</si>
  <si>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</si>
  <si>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</si>
  <si>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</si>
  <si>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</si>
  <si>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</si>
  <si>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</si>
  <si>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</si>
  <si>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</si>
  <si>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</si>
  <si>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</si>
  <si>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</si>
  <si>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</si>
  <si>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</si>
  <si>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</si>
  <si>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</si>
  <si>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</si>
  <si>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</si>
  <si>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</si>
  <si>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</si>
  <si>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</si>
  <si>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</si>
  <si>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</si>
  <si>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</si>
  <si>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</si>
  <si>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</si>
  <si>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</si>
  <si>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</si>
  <si>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</si>
  <si>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</si>
  <si>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</si>
  <si>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</si>
  <si>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</si>
  <si>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</si>
  <si>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</si>
  <si>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</si>
  <si>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</si>
  <si>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</si>
  <si>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</si>
  <si>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</si>
  <si>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</si>
  <si>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</si>
  <si>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</si>
  <si>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</si>
  <si>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</si>
  <si>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</si>
  <si>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</si>
  <si>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</si>
  <si>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</si>
  <si>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</si>
  <si>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</si>
  <si>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</si>
  <si>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</si>
  <si>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</si>
  <si>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</si>
  <si>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</si>
  <si>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</si>
  <si>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</si>
  <si>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</si>
  <si>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</si>
  <si>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</si>
  <si>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</si>
  <si>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</si>
  <si>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</si>
  <si>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</si>
  <si>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</si>
  <si>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</si>
  <si>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</si>
  <si>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</si>
  <si>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</si>
  <si>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</si>
  <si>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</si>
  <si>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</si>
  <si>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</si>
  <si>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</si>
  <si>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</si>
  <si>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</si>
  <si>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</si>
  <si>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</si>
  <si>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</si>
  <si>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</si>
  <si>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</si>
  <si>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</si>
  <si>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</si>
  <si>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</si>
  <si>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</si>
  <si>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</si>
  <si>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</si>
  <si>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</si>
  <si>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</si>
  <si>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</si>
  <si>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</si>
  <si>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</si>
  <si>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</si>
  <si>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</si>
  <si>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</si>
  <si>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</si>
  <si>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</si>
  <si>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</si>
  <si>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</si>
  <si>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</si>
  <si>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</si>
  <si>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</si>
  <si>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</si>
  <si>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</si>
  <si>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</si>
  <si>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</si>
  <si>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</si>
  <si>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</si>
  <si>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</si>
  <si>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</si>
  <si>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</si>
  <si>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</si>
  <si>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</si>
  <si>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</si>
  <si>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</si>
  <si>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</si>
  <si>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</si>
  <si>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</si>
  <si>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</si>
  <si>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</si>
  <si>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</si>
  <si>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</si>
  <si>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</si>
  <si>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</si>
  <si>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</si>
  <si>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</si>
  <si>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</si>
  <si>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</si>
  <si>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</si>
  <si>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</si>
  <si>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</si>
  <si>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</si>
  <si>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</si>
  <si>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</si>
  <si>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</si>
  <si>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</si>
  <si>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</si>
  <si>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</si>
  <si>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</si>
  <si>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</si>
  <si>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</si>
  <si>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</si>
  <si>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</si>
  <si>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</si>
  <si>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</si>
  <si>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</si>
  <si>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</si>
  <si>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</si>
  <si>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</si>
  <si>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</si>
  <si>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</si>
  <si>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</si>
  <si>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</si>
  <si>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</si>
  <si>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</si>
  <si>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</si>
  <si>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</si>
  <si>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</si>
  <si>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</si>
  <si>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</si>
  <si>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</si>
  <si>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</si>
  <si>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</si>
  <si>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</si>
  <si>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</si>
  <si>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</si>
  <si>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</si>
  <si>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</si>
  <si>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</si>
  <si>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</si>
  <si>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</si>
  <si>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</si>
  <si>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</si>
  <si>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</si>
  <si>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</si>
  <si>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</si>
  <si>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</si>
  <si>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</si>
  <si>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</si>
  <si>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</si>
  <si>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</si>
  <si>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</si>
  <si>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</si>
  <si>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</si>
  <si>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</si>
  <si>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</si>
  <si>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</si>
  <si>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</si>
  <si>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</si>
  <si>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</si>
  <si>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</si>
  <si>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</si>
  <si>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</si>
  <si>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</si>
  <si>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</si>
  <si>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</si>
  <si>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</si>
  <si>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</si>
  <si>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</si>
  <si>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</si>
  <si>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</si>
  <si>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</si>
  <si>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</si>
  <si>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</si>
  <si>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</si>
  <si>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</si>
  <si>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</si>
  <si>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</si>
  <si>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</si>
  <si>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</si>
  <si>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</si>
  <si>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</si>
  <si>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</si>
  <si>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</si>
  <si>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</si>
  <si>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</si>
  <si>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</si>
  <si>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</si>
  <si>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</si>
  <si>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</si>
  <si>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</si>
  <si>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</si>
  <si>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</si>
  <si>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</si>
  <si>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</si>
  <si>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</si>
  <si>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</si>
  <si>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</si>
  <si>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</si>
  <si>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</si>
  <si>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</si>
  <si>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</si>
  <si>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</si>
  <si>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</si>
  <si>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</si>
  <si>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</si>
  <si>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</si>
  <si>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</si>
  <si>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</si>
  <si>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</si>
  <si>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</si>
  <si>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</si>
  <si>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</si>
  <si>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</si>
  <si>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</si>
  <si>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</si>
  <si>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</si>
  <si>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</si>
  <si>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</si>
  <si>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</si>
  <si>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</si>
  <si>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</si>
  <si>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</si>
  <si>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</si>
  <si>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</si>
  <si>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</si>
  <si>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</si>
  <si>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</si>
  <si>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</si>
  <si>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</si>
  <si>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</si>
  <si>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</si>
  <si>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</si>
  <si>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</si>
  <si>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</si>
  <si>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</si>
  <si>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</si>
  <si>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</si>
  <si>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</si>
  <si>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</si>
  <si>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</si>
  <si>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</si>
  <si>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</si>
  <si>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</si>
  <si>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</si>
  <si>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</si>
  <si>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</si>
  <si>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</si>
  <si>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</si>
  <si>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</si>
  <si>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</si>
  <si>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</si>
  <si>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</si>
  <si>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</si>
  <si>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</si>
  <si>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</si>
  <si>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</si>
  <si>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</si>
  <si>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</si>
  <si>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</si>
  <si>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</si>
  <si>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</si>
  <si>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</si>
  <si>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</si>
  <si>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</si>
  <si>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</si>
  <si>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</si>
  <si>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</si>
  <si>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</si>
  <si>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</si>
  <si>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</si>
  <si>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</si>
  <si>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</si>
  <si>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</si>
  <si>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</si>
  <si>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</si>
  <si>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</si>
  <si>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</si>
  <si>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</si>
  <si>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</si>
  <si>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</si>
  <si>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</si>
  <si>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</si>
  <si>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</si>
  <si>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</si>
  <si>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</si>
  <si>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</si>
  <si>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</si>
  <si>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</si>
  <si>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</si>
  <si>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</si>
  <si>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</si>
  <si>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</si>
  <si>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</si>
  <si>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</si>
  <si>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</si>
  <si>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</si>
  <si>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</si>
  <si>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</si>
  <si>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</si>
  <si>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</si>
  <si>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</si>
  <si>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</si>
  <si>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</si>
  <si>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</si>
  <si>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</si>
  <si>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</si>
  <si>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</si>
  <si>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</si>
  <si>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</si>
  <si>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</si>
  <si>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</si>
  <si>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</si>
  <si>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</si>
  <si>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</si>
  <si>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</si>
  <si>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</si>
  <si>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</si>
  <si>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</si>
  <si>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</si>
  <si>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</si>
  <si>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</si>
  <si>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</si>
  <si>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</si>
  <si>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</si>
  <si>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</si>
  <si>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</si>
  <si>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</si>
  <si>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</si>
  <si>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</si>
  <si>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</si>
  <si>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</si>
  <si>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</si>
  <si>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</si>
  <si>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</si>
  <si>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</si>
  <si>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</si>
  <si>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</si>
  <si>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</si>
  <si>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</si>
  <si>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</si>
  <si>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</si>
  <si>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</si>
  <si>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</si>
  <si>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</si>
  <si>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</si>
  <si>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</si>
  <si>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</si>
  <si>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</si>
  <si>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</si>
  <si>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</si>
  <si>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</si>
  <si>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</si>
  <si>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</si>
  <si>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</si>
  <si>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</si>
  <si>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</si>
  <si>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</si>
  <si>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</si>
  <si>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</si>
  <si>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</si>
  <si>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</si>
  <si>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</si>
  <si>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</si>
  <si>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</si>
  <si>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</si>
  <si>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</si>
  <si>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</si>
  <si>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</si>
  <si>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</si>
  <si>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</si>
  <si>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</si>
  <si>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</si>
  <si>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</si>
  <si>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</si>
  <si>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</si>
  <si>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</si>
  <si>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</si>
  <si>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</si>
  <si>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</si>
  <si>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</si>
  <si>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</si>
  <si>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</si>
  <si>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</si>
  <si>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</si>
  <si>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</si>
  <si>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</si>
  <si>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</si>
  <si>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</si>
  <si>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</si>
  <si>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</si>
  <si>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</si>
  <si>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</si>
  <si>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</si>
  <si>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</si>
  <si>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</si>
  <si>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</si>
  <si>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</si>
  <si>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</si>
  <si>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</si>
  <si>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</si>
  <si>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</si>
  <si>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</si>
  <si>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</si>
  <si>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</si>
  <si>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</si>
  <si>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</si>
  <si>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</si>
  <si>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</si>
  <si>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</si>
  <si>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</si>
  <si>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</si>
  <si>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</si>
  <si>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</si>
  <si>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</si>
  <si>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</si>
  <si>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</si>
  <si>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</si>
  <si>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</si>
  <si>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</si>
  <si>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</si>
  <si>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</si>
  <si>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</si>
  <si>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</si>
  <si>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</si>
  <si>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</si>
  <si>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</si>
  <si>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</si>
  <si>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</si>
  <si>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</si>
  <si>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</si>
  <si>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</si>
  <si>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</si>
  <si>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</si>
  <si>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</si>
  <si>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</si>
  <si>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</si>
  <si>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</si>
  <si>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</si>
  <si>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</si>
  <si>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</si>
  <si>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</si>
  <si>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</si>
  <si>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</si>
  <si>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</si>
  <si>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</si>
  <si>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</si>
  <si>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</si>
  <si>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</si>
  <si>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</si>
  <si>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</si>
  <si>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</si>
  <si>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</si>
  <si>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</si>
  <si>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</si>
  <si>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</si>
  <si>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</si>
  <si>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</si>
  <si>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</si>
  <si>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</si>
  <si>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</si>
  <si>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</si>
  <si>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</si>
  <si>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</si>
  <si>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</si>
  <si>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</si>
  <si>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</si>
  <si>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</si>
  <si>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</si>
  <si>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</si>
  <si>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</si>
  <si>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</si>
  <si>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</si>
  <si>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</si>
  <si>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</si>
  <si>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</si>
  <si>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</si>
  <si>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</si>
  <si>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</si>
  <si>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</si>
  <si>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</si>
  <si>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</si>
  <si>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</si>
  <si>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</si>
  <si>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</si>
  <si>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</si>
  <si>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</si>
  <si>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</si>
  <si>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</si>
  <si>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</si>
  <si>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</si>
  <si>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</si>
  <si>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</si>
  <si>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</si>
  <si>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</si>
  <si>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</si>
  <si>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</si>
  <si>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</si>
  <si>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</si>
  <si>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</si>
  <si>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</si>
  <si>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</si>
  <si>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</si>
  <si>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</si>
  <si>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</si>
  <si>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</si>
  <si>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</si>
  <si>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</si>
  <si>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</si>
  <si>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</si>
  <si>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</si>
  <si>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</si>
  <si>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</si>
  <si>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</si>
  <si>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</si>
  <si>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</si>
  <si>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</si>
  <si>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</si>
  <si>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</si>
  <si>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</si>
  <si>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</si>
  <si>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</si>
  <si>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</si>
  <si>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</si>
  <si>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</si>
  <si>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</si>
  <si>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</si>
  <si>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</si>
  <si>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</si>
  <si>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</si>
  <si>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</si>
  <si>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</si>
  <si>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</si>
  <si>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</si>
  <si>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</si>
  <si>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</si>
  <si>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</si>
  <si>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</si>
  <si>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</si>
  <si>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</si>
  <si>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</si>
  <si>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</si>
  <si>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</si>
  <si>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</si>
  <si>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</si>
  <si>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</si>
  <si>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</si>
  <si>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</si>
  <si>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</si>
  <si>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</si>
  <si>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</si>
  <si>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</si>
  <si>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</si>
  <si>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</si>
  <si>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</si>
  <si>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</si>
  <si>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</si>
  <si>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</si>
  <si>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</si>
  <si>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</si>
  <si>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</si>
  <si>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</si>
  <si>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</si>
  <si>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</si>
  <si>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</si>
  <si>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</si>
  <si>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</si>
  <si>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</si>
  <si>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</si>
  <si>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</si>
  <si>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</si>
  <si>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</si>
  <si>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</si>
  <si>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</si>
  <si>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</si>
  <si>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</si>
  <si>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</si>
  <si>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</si>
  <si>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</si>
  <si>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</si>
  <si>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</si>
  <si>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</si>
  <si>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</si>
  <si>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</si>
  <si>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</si>
  <si>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</si>
  <si>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</si>
  <si>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</si>
  <si>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</si>
  <si>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</si>
  <si>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</si>
  <si>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</si>
  <si>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</si>
  <si>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</si>
  <si>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</si>
  <si>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</si>
  <si>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</si>
  <si>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</si>
  <si>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</si>
  <si>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</si>
  <si>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</si>
  <si>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</si>
  <si>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</si>
  <si>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</si>
  <si>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</si>
  <si>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</si>
  <si>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</si>
  <si>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</si>
  <si>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</si>
  <si>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</si>
  <si>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</si>
  <si>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</si>
  <si>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</si>
  <si>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</si>
  <si>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</si>
  <si>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</si>
  <si>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</si>
  <si>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</si>
  <si>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</si>
  <si>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</si>
  <si>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</si>
  <si>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</si>
  <si>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</si>
  <si>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</si>
  <si>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</si>
  <si>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</si>
  <si>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</si>
  <si>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</si>
  <si>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</si>
  <si>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</si>
  <si>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</si>
  <si>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</si>
  <si>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</si>
  <si>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</si>
  <si>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</si>
  <si>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</si>
  <si>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</si>
  <si>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</si>
  <si>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</si>
  <si>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</si>
  <si>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</si>
  <si>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</si>
  <si>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</si>
  <si>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</si>
  <si>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</si>
  <si>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</si>
  <si>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</si>
  <si>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</si>
  <si>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</si>
  <si>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</si>
  <si>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</si>
  <si>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</si>
  <si>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</si>
  <si>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</si>
  <si>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</si>
  <si>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</si>
  <si>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</si>
  <si>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</si>
  <si>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</si>
  <si>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</si>
  <si>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</si>
  <si>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</si>
  <si>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</si>
  <si>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</si>
  <si>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</si>
  <si>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</si>
  <si>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</si>
  <si>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</si>
  <si>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</si>
  <si>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</si>
  <si>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</si>
  <si>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</si>
  <si>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</si>
  <si>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</si>
  <si>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</si>
  <si>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</si>
  <si>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</si>
  <si>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</si>
  <si>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</si>
  <si>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</si>
  <si>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</si>
  <si>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</si>
  <si>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</si>
  <si>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</si>
  <si>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</si>
  <si>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</si>
  <si>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</si>
  <si>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</si>
  <si>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</si>
  <si>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</si>
  <si>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</si>
  <si>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</si>
  <si>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</si>
  <si>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</si>
  <si>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</si>
  <si>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</si>
  <si>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</si>
  <si>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</si>
  <si>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</si>
  <si>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</si>
  <si>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</si>
  <si>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</si>
  <si>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</si>
  <si>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</si>
  <si>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</si>
  <si>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</si>
  <si>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</si>
  <si>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</si>
  <si>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</si>
  <si>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</si>
  <si>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</si>
  <si>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</si>
  <si>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</si>
  <si>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</si>
  <si>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</si>
  <si>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</si>
  <si>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</si>
  <si>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</si>
  <si>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</si>
  <si>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</si>
  <si>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</si>
  <si>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</si>
  <si>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</si>
  <si>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</si>
  <si>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</si>
  <si>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</si>
  <si>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</si>
  <si>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</si>
  <si>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</si>
  <si>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</si>
  <si>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</si>
  <si>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</si>
  <si>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</si>
  <si>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</si>
  <si>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</si>
  <si>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</si>
  <si>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</si>
  <si>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</si>
  <si>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</si>
  <si>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</si>
  <si>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</si>
  <si>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</si>
  <si>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</si>
  <si>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</si>
  <si>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</si>
  <si>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</si>
  <si>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</si>
  <si>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</si>
  <si>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</si>
  <si>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</si>
  <si>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</si>
  <si>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</si>
  <si>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</si>
  <si>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</si>
  <si>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</si>
  <si>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</si>
  <si>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</si>
  <si>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</si>
  <si>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</si>
  <si>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</si>
  <si>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</si>
  <si>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</si>
  <si>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</si>
  <si>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</si>
  <si>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</si>
  <si>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</si>
  <si>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</si>
  <si>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</si>
  <si>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</si>
  <si>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</si>
  <si>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</si>
  <si>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</si>
  <si>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</si>
  <si>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</si>
  <si>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</si>
  <si>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</si>
  <si>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</si>
  <si>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</si>
  <si>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</si>
  <si>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</si>
  <si>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</si>
  <si>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</si>
  <si>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</si>
  <si>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</si>
  <si>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</si>
  <si>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</si>
  <si>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</si>
  <si>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</si>
  <si>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</si>
  <si>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</si>
  <si>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</si>
  <si>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</si>
  <si>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</si>
  <si>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</si>
  <si>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</si>
  <si>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</si>
  <si>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</si>
  <si>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</si>
  <si>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</si>
  <si>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</si>
  <si>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</si>
  <si>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</si>
  <si>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</si>
  <si>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</si>
  <si>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</si>
  <si>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</si>
  <si>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</si>
  <si>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</si>
  <si>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</si>
  <si>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</si>
  <si>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</si>
  <si>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</si>
  <si>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</si>
  <si>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</si>
  <si>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</si>
  <si>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</si>
  <si>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</si>
  <si>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</si>
  <si>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</si>
  <si>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</si>
  <si>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</si>
  <si>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</si>
  <si>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</si>
  <si>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</si>
  <si>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</si>
  <si>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</si>
  <si>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</si>
  <si>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</si>
  <si>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</si>
  <si>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</si>
  <si>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</si>
  <si>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</si>
  <si>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</si>
  <si>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</si>
  <si>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</si>
  <si>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</si>
  <si>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</si>
  <si>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</si>
  <si>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</si>
  <si>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</si>
  <si>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</si>
  <si>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</si>
  <si>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</si>
  <si>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</si>
  <si>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</si>
  <si>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</si>
  <si>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</si>
  <si>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</si>
  <si>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</si>
  <si>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</si>
  <si>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</si>
  <si>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</si>
  <si>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</si>
  <si>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</si>
  <si>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</si>
  <si>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</si>
  <si>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</si>
  <si>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</si>
  <si>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</si>
  <si>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</si>
  <si>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</si>
  <si>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</si>
  <si>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</si>
  <si>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</si>
  <si>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</si>
  <si>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</si>
  <si>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</si>
  <si>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</si>
  <si>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</si>
  <si>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</si>
  <si>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</si>
  <si>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</si>
  <si>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</si>
  <si>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</si>
  <si>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</si>
  <si>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</si>
  <si>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</si>
  <si>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</si>
  <si>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</si>
  <si>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</si>
  <si>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</si>
  <si>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</si>
  <si>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</si>
  <si>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</si>
  <si>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</si>
  <si>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</si>
  <si>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</si>
  <si>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</si>
  <si>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</si>
  <si>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</si>
  <si>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</si>
  <si>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</si>
  <si>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</si>
  <si>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</si>
  <si>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</si>
  <si>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</si>
  <si>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</si>
  <si>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</si>
  <si>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</si>
  <si>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</si>
  <si>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</si>
  <si>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</si>
  <si>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</si>
  <si>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</si>
  <si>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</si>
  <si>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</si>
  <si>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</si>
  <si>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</si>
  <si>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</si>
  <si>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</si>
  <si>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</si>
  <si>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</si>
  <si>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</si>
  <si>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</si>
  <si>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</si>
  <si>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</si>
  <si>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</si>
  <si>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</si>
  <si>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</si>
  <si>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</si>
  <si>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</si>
  <si>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</si>
  <si>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</si>
  <si>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</si>
  <si>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</si>
  <si>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</si>
  <si>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</si>
  <si>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</si>
  <si>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</si>
  <si>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</si>
  <si>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</si>
  <si>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</si>
  <si>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</si>
  <si>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</si>
  <si>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</si>
  <si>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</si>
  <si>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</si>
  <si>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</si>
  <si>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</si>
  <si>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</si>
  <si>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</si>
  <si>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</si>
  <si>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</si>
  <si>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</si>
  <si>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</si>
  <si>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</si>
  <si>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</si>
  <si>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</si>
  <si>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</si>
  <si>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</si>
  <si>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</si>
  <si>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</si>
  <si>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</si>
  <si>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</si>
  <si>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</si>
  <si>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</si>
  <si>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</si>
  <si>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</si>
  <si>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</si>
  <si>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</si>
  <si>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</si>
  <si>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</si>
  <si>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</si>
  <si>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</si>
  <si>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</si>
  <si>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</si>
  <si>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</si>
  <si>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</si>
  <si>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</si>
  <si>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</si>
  <si>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</si>
  <si>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</si>
  <si>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</si>
  <si>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</si>
  <si>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</si>
  <si>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</si>
  <si>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</si>
  <si>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</si>
  <si>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</si>
  <si>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</si>
  <si>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</si>
  <si>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</si>
  <si>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</si>
  <si>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</si>
  <si>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</si>
  <si>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</si>
  <si>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</si>
  <si>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</si>
  <si>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</si>
  <si>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</si>
  <si>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</si>
  <si>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</si>
  <si>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</si>
  <si>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</si>
  <si>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</si>
  <si>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</si>
  <si>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</si>
  <si>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</si>
  <si>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</si>
  <si>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</si>
  <si>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</si>
  <si>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</si>
  <si>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</si>
  <si>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</si>
  <si>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</si>
  <si>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</si>
  <si>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</si>
  <si>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</si>
  <si>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</si>
  <si>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</si>
  <si>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</si>
  <si>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</si>
  <si>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</si>
  <si>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</si>
  <si>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</si>
  <si>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</si>
  <si>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</si>
  <si>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</si>
  <si>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</si>
  <si>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</si>
  <si>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</si>
  <si>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</si>
  <si>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</si>
  <si>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</si>
  <si>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</si>
  <si>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</si>
  <si>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</si>
  <si>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</si>
  <si>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</si>
  <si>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</si>
  <si>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</si>
  <si>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</si>
  <si>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</si>
  <si>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</si>
  <si>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</si>
  <si>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</si>
  <si>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</si>
  <si>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</si>
  <si>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</si>
  <si>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</si>
  <si>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</si>
  <si>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</si>
  <si>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</si>
  <si>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</si>
  <si>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</si>
  <si>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</si>
  <si>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</si>
  <si>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</si>
  <si>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</si>
  <si>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</si>
  <si>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</si>
  <si>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</si>
  <si>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</si>
  <si>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</si>
  <si>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</si>
  <si>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</si>
  <si>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</si>
  <si>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</si>
  <si>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</si>
  <si>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</si>
  <si>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</si>
  <si>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</si>
  <si>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</si>
  <si>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</si>
  <si>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</si>
  <si>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</si>
  <si>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</si>
  <si>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</si>
  <si>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</si>
  <si>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</si>
  <si>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</si>
  <si>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</si>
  <si>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</si>
  <si>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</si>
  <si>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</si>
  <si>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</si>
  <si>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</si>
  <si>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</si>
  <si>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</si>
  <si>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</si>
  <si>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</si>
  <si>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</si>
  <si>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</si>
  <si>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</si>
  <si>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</si>
  <si>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</si>
  <si>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</si>
  <si>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</si>
  <si>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</si>
  <si>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</si>
  <si>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</si>
  <si>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</si>
  <si>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</si>
  <si>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</si>
  <si>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</si>
  <si>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</si>
  <si>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</si>
  <si>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</si>
  <si>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</si>
  <si>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</si>
  <si>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</si>
  <si>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</si>
  <si>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</si>
  <si>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</si>
  <si>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</si>
  <si>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</si>
  <si>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</si>
  <si>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</si>
  <si>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</si>
  <si>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</si>
  <si>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</si>
  <si>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</si>
  <si>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</si>
  <si>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</si>
  <si>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</si>
  <si>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</si>
  <si>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</si>
  <si>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</si>
  <si>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</si>
  <si>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</si>
  <si>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</si>
  <si>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</si>
  <si>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</si>
  <si>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</si>
  <si>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</si>
  <si>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</si>
  <si>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</si>
  <si>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</si>
  <si>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</si>
  <si>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</si>
  <si>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</si>
  <si>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</si>
  <si>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</si>
  <si>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</si>
  <si>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</si>
  <si>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</si>
  <si>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</si>
  <si>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</si>
  <si>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</si>
  <si>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</si>
  <si>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</si>
  <si>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</si>
  <si>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</si>
  <si>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</si>
  <si>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</si>
  <si>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</si>
  <si>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</si>
  <si>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</si>
  <si>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</si>
  <si>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</si>
  <si>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</si>
  <si>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</si>
  <si>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</si>
  <si>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</si>
  <si>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</si>
  <si>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</si>
  <si>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</si>
  <si>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</si>
  <si>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</si>
  <si>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</si>
  <si>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</si>
  <si>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</si>
  <si>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</si>
  <si>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</si>
  <si>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</si>
  <si>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</si>
  <si>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</si>
  <si>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</si>
  <si>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</si>
  <si>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</si>
  <si>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</si>
  <si>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</si>
  <si>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</si>
  <si>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</si>
  <si>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</si>
  <si>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</si>
  <si>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</si>
  <si>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</si>
  <si>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</si>
  <si>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</si>
  <si>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</si>
  <si>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</si>
  <si>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</si>
  <si>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</si>
  <si>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</si>
  <si>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</si>
  <si>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</si>
  <si>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</si>
  <si>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</si>
  <si>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</si>
  <si>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</si>
  <si>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</si>
  <si>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</si>
  <si>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</si>
  <si>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</si>
  <si>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</si>
  <si>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</si>
  <si>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</si>
  <si>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</si>
  <si>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</si>
  <si>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</si>
  <si>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</si>
  <si>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</si>
  <si>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</si>
  <si>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</si>
  <si>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</si>
  <si>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</si>
  <si>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</si>
  <si>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</si>
  <si>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</si>
  <si>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</si>
  <si>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</si>
  <si>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</si>
  <si>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</si>
  <si>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</si>
  <si>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</si>
  <si>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</si>
  <si>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</si>
  <si>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</si>
  <si>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</si>
  <si>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</si>
  <si>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</si>
  <si>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</si>
  <si>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</si>
  <si>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</si>
  <si>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</si>
  <si>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</si>
  <si>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</si>
  <si>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</si>
  <si>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</si>
  <si>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</si>
  <si>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</si>
  <si>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</si>
  <si>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</si>
  <si>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</si>
  <si>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</si>
  <si>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</si>
  <si>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</si>
  <si>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</si>
  <si>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</si>
  <si>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</si>
  <si>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</si>
  <si>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</si>
  <si>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</si>
  <si>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</si>
  <si>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</si>
  <si>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</si>
  <si>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</si>
  <si>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</si>
  <si>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</si>
  <si>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</si>
  <si>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</si>
  <si>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</si>
  <si>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</si>
  <si>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</si>
  <si>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</si>
  <si>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</si>
  <si>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</si>
  <si>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</si>
  <si>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</si>
  <si>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</si>
  <si>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</si>
  <si>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</si>
  <si>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</si>
  <si>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</si>
  <si>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</si>
  <si>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</si>
  <si>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</si>
  <si>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</si>
  <si>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</si>
  <si>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</si>
  <si>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</si>
  <si>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</si>
  <si>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</si>
  <si>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</si>
  <si>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</si>
  <si>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</si>
  <si>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</si>
  <si>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</si>
  <si>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</si>
  <si>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</si>
  <si>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</si>
  <si>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</si>
  <si>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</si>
  <si>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</si>
  <si>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</si>
  <si>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</si>
  <si>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</si>
  <si>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</si>
  <si>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</si>
  <si>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</si>
  <si>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</si>
  <si>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</si>
  <si>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</si>
  <si>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</si>
  <si>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</si>
  <si>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</si>
  <si>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</si>
  <si>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</si>
  <si>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</si>
  <si>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</si>
  <si>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</si>
  <si>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</si>
  <si>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</si>
  <si>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</si>
  <si>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</si>
  <si>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</si>
  <si>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</si>
  <si>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</si>
  <si>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</si>
  <si>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</si>
  <si>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</si>
  <si>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</si>
  <si>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</si>
  <si>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</si>
  <si>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</si>
  <si>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</si>
  <si>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</si>
  <si>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</si>
  <si>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</si>
  <si>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</si>
  <si>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</si>
  <si>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</si>
  <si>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</si>
  <si>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</si>
  <si>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</si>
  <si>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</si>
  <si>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</si>
  <si>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</si>
  <si>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</si>
  <si>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</si>
  <si>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</si>
  <si>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</si>
  <si>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</si>
  <si>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</si>
  <si>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</si>
  <si>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</si>
  <si>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</si>
  <si>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</si>
  <si>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</si>
  <si>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</si>
  <si>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</si>
  <si>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</si>
  <si>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</si>
  <si>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</si>
  <si>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</si>
  <si>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</si>
  <si>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</si>
  <si>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</si>
  <si>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</si>
  <si>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</si>
  <si>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</si>
  <si>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</si>
  <si>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</si>
  <si>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</si>
  <si>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</si>
  <si>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</si>
  <si>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</si>
  <si>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</si>
  <si>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</si>
  <si>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</si>
  <si>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</si>
  <si>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</si>
  <si>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</si>
  <si>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</si>
  <si>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</si>
  <si>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</si>
  <si>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</si>
  <si>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</si>
  <si>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</si>
  <si>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</si>
  <si>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</si>
  <si>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</si>
  <si>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</si>
  <si>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</si>
  <si>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</si>
  <si>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</si>
  <si>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</si>
  <si>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</si>
  <si>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</si>
  <si>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</si>
  <si>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</si>
  <si>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</si>
  <si>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</si>
  <si>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</si>
  <si>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</si>
  <si>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</si>
  <si>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</si>
  <si>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</si>
  <si>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</si>
  <si>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</si>
  <si>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</si>
  <si>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</si>
  <si>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</si>
  <si>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</si>
  <si>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</si>
  <si>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</si>
  <si>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</si>
  <si>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</si>
  <si>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</si>
  <si>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</si>
  <si>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</si>
  <si>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</si>
  <si>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</si>
  <si>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</si>
  <si>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</si>
  <si>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</si>
  <si>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</si>
  <si>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</si>
  <si>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</si>
  <si>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</si>
  <si>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</si>
  <si>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</si>
  <si>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</si>
  <si>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</si>
  <si>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</si>
  <si>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</si>
  <si>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</si>
  <si>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</si>
  <si>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</si>
  <si>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</si>
  <si>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</si>
  <si>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</si>
  <si>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</si>
  <si>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</si>
  <si>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</si>
  <si>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</si>
  <si>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</si>
  <si>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</si>
  <si>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</si>
  <si>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</si>
  <si>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</si>
  <si>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</si>
  <si>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</si>
  <si>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</si>
  <si>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</si>
  <si>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</si>
  <si>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</si>
  <si>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</si>
  <si>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</si>
  <si>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</si>
  <si>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</si>
  <si>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</si>
  <si>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</si>
  <si>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</si>
  <si>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</si>
  <si>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</si>
  <si>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</si>
  <si>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</si>
  <si>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</si>
  <si>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</si>
  <si>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</si>
  <si>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</si>
  <si>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</si>
  <si>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</si>
  <si>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</si>
  <si>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</si>
  <si>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</si>
  <si>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</si>
  <si>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</si>
  <si>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</si>
  <si>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</si>
  <si>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</si>
  <si>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</si>
  <si>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</si>
  <si>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</si>
  <si>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</si>
  <si>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</si>
  <si>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</si>
  <si>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</si>
  <si>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</si>
  <si>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</si>
  <si>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</si>
  <si>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</si>
  <si>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</si>
  <si>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</si>
  <si>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</si>
  <si>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</si>
  <si>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</si>
  <si>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</si>
  <si>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</si>
  <si>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</si>
  <si>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</si>
  <si>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</si>
  <si>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</si>
  <si>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</si>
  <si>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</si>
  <si>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</si>
  <si>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</si>
  <si>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</si>
  <si>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</si>
  <si>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</si>
  <si>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</si>
  <si>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</si>
  <si>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</si>
  <si>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</si>
  <si>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</si>
  <si>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</si>
  <si>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</si>
  <si>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</si>
  <si>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</si>
  <si>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</si>
  <si>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</si>
  <si>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</si>
  <si>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</si>
  <si>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</si>
  <si>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</si>
  <si>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</si>
  <si>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</si>
  <si>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</si>
  <si>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</si>
  <si>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</si>
  <si>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</si>
  <si>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</si>
  <si>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</si>
  <si>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</si>
  <si>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</si>
  <si>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</si>
  <si>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</si>
  <si>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</si>
  <si>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</si>
  <si>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</si>
  <si>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</si>
  <si>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</si>
  <si>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</si>
  <si>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</si>
  <si>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</si>
  <si>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</si>
  <si>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</si>
  <si>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</si>
  <si>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</si>
  <si>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</si>
  <si>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</si>
  <si>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</si>
  <si>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</si>
  <si>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</si>
  <si>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</si>
  <si>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</si>
  <si>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</si>
  <si>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</si>
  <si>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</si>
  <si>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</si>
  <si>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</si>
  <si>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</si>
  <si>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</si>
  <si>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</si>
  <si>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</si>
  <si>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</si>
  <si>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</si>
  <si>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</si>
  <si>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</si>
  <si>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</si>
  <si>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</si>
  <si>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</si>
  <si>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</si>
  <si>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</si>
  <si>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</si>
  <si>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</si>
  <si>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</si>
  <si>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</si>
  <si>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</si>
  <si>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</si>
  <si>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</si>
  <si>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</si>
  <si>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</si>
  <si>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</si>
  <si>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</si>
  <si>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</si>
  <si>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</si>
  <si>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</si>
  <si>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</si>
  <si>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</si>
  <si>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</si>
  <si>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</si>
  <si>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</si>
  <si>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</si>
  <si>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</si>
  <si>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</si>
  <si>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</si>
  <si>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</si>
  <si>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</si>
  <si>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</si>
  <si>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</si>
  <si>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</si>
  <si>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</si>
  <si>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</si>
  <si>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</si>
  <si>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</si>
  <si>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</si>
  <si>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</si>
  <si>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</si>
  <si>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</si>
  <si>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</si>
  <si>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</si>
  <si>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</si>
  <si>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</si>
  <si>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</si>
  <si>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</si>
  <si>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</si>
  <si>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</si>
  <si>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</si>
  <si>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</si>
  <si>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</si>
  <si>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</si>
  <si>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</si>
  <si>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</si>
  <si>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</si>
  <si>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</si>
  <si>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</si>
  <si>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</si>
  <si>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</si>
  <si>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</si>
  <si>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</si>
  <si>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</si>
  <si>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</si>
  <si>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</si>
  <si>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</si>
  <si>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</si>
  <si>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</si>
  <si>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</si>
  <si>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</si>
  <si>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</si>
  <si>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</si>
  <si>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</si>
  <si>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</si>
  <si>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</si>
  <si>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</si>
  <si>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</si>
  <si>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</si>
  <si>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</si>
  <si>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</si>
  <si>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</si>
  <si>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</si>
  <si>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</si>
  <si>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</si>
  <si>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</si>
  <si>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</si>
  <si>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</si>
  <si>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</si>
  <si>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</si>
  <si>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</si>
  <si>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</si>
  <si>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</si>
  <si>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</si>
  <si>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</si>
  <si>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</si>
  <si>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</si>
  <si>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</si>
  <si>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</si>
  <si>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</si>
  <si>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</si>
  <si>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</si>
  <si>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</si>
  <si>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</si>
  <si>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</si>
  <si>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</si>
  <si>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</si>
  <si>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</si>
  <si>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</si>
  <si>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</si>
  <si>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</si>
  <si>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</si>
  <si>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</si>
  <si>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</si>
  <si>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</si>
  <si>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</si>
  <si>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</si>
  <si>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</si>
  <si>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</si>
  <si>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</si>
  <si>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</si>
  <si>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</si>
  <si>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</si>
  <si>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</si>
  <si>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</si>
  <si>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</si>
  <si>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</si>
  <si>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</si>
  <si>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</si>
  <si>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</si>
  <si>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</si>
  <si>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</si>
  <si>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</si>
  <si>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</si>
  <si>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</si>
  <si>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</si>
  <si>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</si>
  <si>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</si>
  <si>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</si>
  <si>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</si>
  <si>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</si>
  <si>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</si>
  <si>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</si>
  <si>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</si>
  <si>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</si>
  <si>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</si>
  <si>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</si>
  <si>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</si>
  <si>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</si>
  <si>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</si>
  <si>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</si>
  <si>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</si>
  <si>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</si>
  <si>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</si>
  <si>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</si>
  <si>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</si>
  <si>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</si>
  <si>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</si>
  <si>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</si>
  <si>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</si>
  <si>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</si>
  <si>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</si>
  <si>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</si>
  <si>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</si>
  <si>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</si>
  <si>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</si>
  <si>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</si>
  <si>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</si>
  <si>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</si>
  <si>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</si>
  <si>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</si>
  <si>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</si>
  <si>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</si>
  <si>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</si>
  <si>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</si>
  <si>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</si>
  <si>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</si>
  <si>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</si>
  <si>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</si>
  <si>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</si>
  <si>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</si>
  <si>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</si>
  <si>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</si>
  <si>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</si>
  <si>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</si>
  <si>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</si>
  <si>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</si>
  <si>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</si>
  <si>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</si>
  <si>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</si>
  <si>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</si>
  <si>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</si>
  <si>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</si>
  <si>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</si>
  <si>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</si>
  <si>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</si>
  <si>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</si>
  <si>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</si>
  <si>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</si>
  <si>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</si>
  <si>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</si>
  <si>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</si>
  <si>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</si>
  <si>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</si>
  <si>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</si>
  <si>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</si>
  <si>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</si>
  <si>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</si>
  <si>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</si>
  <si>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</si>
  <si>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</si>
  <si>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</si>
  <si>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</si>
  <si>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</si>
  <si>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</si>
  <si>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</si>
  <si>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</si>
  <si>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</si>
  <si>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</si>
  <si>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</si>
  <si>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</si>
  <si>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</si>
  <si>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</si>
  <si>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</si>
  <si>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</si>
  <si>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</si>
  <si>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</si>
  <si>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</si>
  <si>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</si>
  <si>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</si>
  <si>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</si>
  <si>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to Display</t>
  </si>
  <si>
    <t>Avg Rating</t>
  </si>
  <si>
    <t>Average Days</t>
  </si>
  <si>
    <t>Row Labels</t>
  </si>
  <si>
    <t>Grand Total</t>
  </si>
  <si>
    <t>Column Labels</t>
  </si>
  <si>
    <t>Female</t>
  </si>
  <si>
    <t>Male</t>
  </si>
  <si>
    <t>Other</t>
  </si>
  <si>
    <t>Unknown</t>
  </si>
  <si>
    <t>For matrix</t>
  </si>
  <si>
    <t xml:space="preserve"> </t>
  </si>
  <si>
    <t>Count of State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</si>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</sst>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[Sales_Logistics_Dashboard.xlsx]Sheet3!PivotTable19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Sheet3!$K$85</c:f>
              <c:strCache>
                <c:ptCount val="1"/>
                <c:pt idx="0">
                  <c:v>Total</c:v>
                </c:pt>
              </c:strCache>
            </c:strRef>
          </c:tx>
          <c:spPr>
            <a:solidFill>
              <a:schemeClr val="accent1"/>
            </a:solidFill>
            <a:ln>
              <a:noFill/>
            </a:ln>
            <a:effectLst/>
          </c:spPr>
          <c:invertIfNegative val="0"/>
          <c:cat>
            <c:strRef>
              <c:f>Sheet3!$J$86:$J$89</c:f>
              <c:strCache>
                <c:ptCount val="3"/>
                <c:pt idx="0">
                  <c:v>Jan</c:v>
                </c:pt>
                <c:pt idx="1">
                  <c:v>Feb</c:v>
                </c:pt>
                <c:pt idx="2">
                  <c:v>Mar</c:v>
                </c:pt>
              </c:strCache>
            </c:strRef>
          </c:cat>
          <c:val>
            <c:numRef>
              <c:f>Sheet3!$K$86:$K$89</c:f>
              <c:numCache>
                <c:formatCode>General</c:formatCode>
                <c:ptCount val="3"/>
                <c:pt idx="0">
                  <c:v>730</c:v>
                </c:pt>
                <c:pt idx="1">
                  <c:v>861</c:v>
                </c:pt>
                <c:pt idx="2">
                  <c:v>809</c:v>
                </c:pt>
              </c:numCache>
            </c:numRef>
          </c:val>
          <c:extLst>
            <c:ext xmlns:c16="http://schemas.microsoft.com/office/drawing/2014/chart" uri="{C3380CC4-5D6E-409C-BE32-E72D297353CC}">
              <c16:uniqueId val="{00000000-B575-498A-BE07-589026BB2752}"/>
            </c:ext>
          </c:extLst>
        </c:ser>
        <c:dLbls>
          <c:showLegendKey val="0"/>
          <c:showVal val="0"/>
          <c:showCatName val="0"/>
          <c:showSerName val="0"/>
          <c:showPercent val="0"/>
          <c:showBubbleSize val="0"/>
        </c:dLbls>
        <c:gapWidth val="219"/>
        <c:overlap val="-27"/>
        <c:axId val="275661567"/>
        <c:axId val="275663487"/>
      </c:barChart>
      <c:catAx>
        <c:axId val="27566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63487"/>
        <c:crosses val="autoZero"/>
        <c:auto val="1"/>
        <c:lblAlgn val="ctr"/>
        <c:lblOffset val="100"/>
        <c:noMultiLvlLbl val="0"/>
      </c:catAx>
      <c:valAx>
        <c:axId val="27566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6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[Sales_Logistics_Dashboard.xlsx]Sheet3!PivotTable19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Sheet3!$K$85</c:f>
              <c:strCache>
                <c:ptCount val="1"/>
                <c:pt idx="0">
                  <c:v>Total</c:v>
                </c:pt>
              </c:strCache>
            </c:strRef>
          </c:tx>
          <c:spPr>
            <a:solidFill>
              <a:schemeClr val="accent1"/>
            </a:solidFill>
            <a:ln>
              <a:noFill/>
            </a:ln>
            <a:effectLst/>
          </c:spPr>
          <c:invertIfNegative val="0"/>
          <c:cat>
            <c:strRef>
              <c:f>Sheet3!$J$86:$J$89</c:f>
              <c:strCache>
                <c:ptCount val="3"/>
                <c:pt idx="0">
                  <c:v>Jan</c:v>
                </c:pt>
                <c:pt idx="1">
                  <c:v>Feb</c:v>
                </c:pt>
                <c:pt idx="2">
                  <c:v>Mar</c:v>
                </c:pt>
              </c:strCache>
            </c:strRef>
          </c:cat>
          <c:val>
            <c:numRef>
              <c:f>Sheet3!$K$86:$K$89</c:f>
              <c:numCache>
                <c:formatCode>General</c:formatCode>
                <c:ptCount val="3"/>
                <c:pt idx="0">
                  <c:v>730</c:v>
                </c:pt>
                <c:pt idx="1">
                  <c:v>861</c:v>
                </c:pt>
                <c:pt idx="2">
                  <c:v>809</c:v>
                </c:pt>
              </c:numCache>
            </c:numRef>
          </c:val>
          <c:extLst>
            <c:ext xmlns:c16="http://schemas.microsoft.com/office/drawing/2014/chart" uri="{C3380CC4-5D6E-409C-BE32-E72D297353CC}">
              <c16:uniqueId val="{00000000-54C3-4D61-A59B-238EA0A7C68F}"/>
            </c:ext>
          </c:extLst>
        </c:ser>
        <c:dLbls>
          <c:showLegendKey val="0"/>
          <c:showVal val="0"/>
          <c:showCatName val="0"/>
          <c:showSerName val="0"/>
          <c:showPercent val="0"/>
          <c:showBubbleSize val="0"/>
        </c:dLbls>
        <c:gapWidth val="219"/>
        <c:overlap val="-27"/>
        <c:axId val="162249119"/>
        <c:axId val="162250079"/>
      </c:barChart>
      <c:catAx>
        <c:axId val="16224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0079"/>
        <c:crosses val="autoZero"/>
        <c:auto val="1"/>
        <c:lblAlgn val="ctr"/>
        <c:lblOffset val="100"/>
        <c:noMultiLvlLbl val="0"/>
      </c:catAx>
      <c:valAx>
        <c:axId val="16225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4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[Sales_Logistics_Dashboard.xlsx]Pivot!PivotTable10</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CFC-415A-B37C-257B58582E38}"/>
            </c:ext>
          </c:extLst>
        </c:ser>
        <c:dLbls>
          <c:showLegendKey val="0"/>
          <c:showVal val="0"/>
          <c:showCatName val="0"/>
          <c:showSerName val="0"/>
          <c:showPercent val="0"/>
          <c:showBubbleSize val="0"/>
        </c:dLbls>
        <c:marker val="1"/>
        <c:smooth val="0"/>
        <c:axId val="159724111"/>
        <c:axId val="159723151"/>
      </c:lineChart>
      <c:lineChart>
        <c:grouping val="standard"/>
        <c:varyColors val="0"/>
        <c:ser>
          <c:idx val="1"/>
          <c:order val="1"/>
          <c:tx>
            <c:strRef>
              <c:f>Pivot!$C$11</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Pivot!$C$12:$C$25</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CFC-415A-B37C-257B58582E38}"/>
            </c:ext>
          </c:extLst>
        </c:ser>
        <c:dLbls>
          <c:showLegendKey val="0"/>
          <c:showVal val="0"/>
          <c:showCatName val="0"/>
          <c:showSerName val="0"/>
          <c:showPercent val="0"/>
          <c:showBubbleSize val="0"/>
        </c:dLbls>
        <c:marker val="1"/>
        <c:smooth val="0"/>
        <c:axId val="563659903"/>
        <c:axId val="563659423"/>
      </c:lineChart>
      <c:catAx>
        <c:axId val="15972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723151"/>
        <c:crosses val="autoZero"/>
        <c:auto val="1"/>
        <c:lblAlgn val="ctr"/>
        <c:lblOffset val="100"/>
        <c:noMultiLvlLbl val="0"/>
      </c:catAx>
      <c:valAx>
        <c:axId val="15972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724111"/>
        <c:crosses val="autoZero"/>
        <c:crossBetween val="between"/>
      </c:valAx>
      <c:valAx>
        <c:axId val="563659423"/>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63659903"/>
        <c:crosses val="max"/>
        <c:crossBetween val="between"/>
      </c:valAx>
      <c:catAx>
        <c:axId val="563659903"/>
        <c:scaling>
          <c:orientation val="minMax"/>
        </c:scaling>
        <c:delete val="1"/>
        <c:axPos val="b"/>
        <c:numFmt formatCode="General" sourceLinked="1"/>
        <c:majorTickMark val="out"/>
        <c:minorTickMark val="none"/>
        <c:tickLblPos val="nextTo"/>
        <c:crossAx val="5636594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General</c:formatCode>
              <c:ptCount val="20"/>
              <c:pt idx="0">
                <c:v>43</c:v>
              </c:pt>
              <c:pt idx="1">
                <c:v>482</c:v>
              </c:pt>
              <c:pt idx="2">
                <c:v>234</c:v>
              </c:pt>
              <c:pt idx="3">
                <c:v>153</c:v>
              </c:pt>
              <c:pt idx="4">
                <c:v>431</c:v>
              </c:pt>
              <c:pt idx="5">
                <c:v>264</c:v>
              </c:pt>
              <c:pt idx="6">
                <c:v>716</c:v>
              </c:pt>
              <c:pt idx="7">
                <c:v>26</c:v>
              </c:pt>
              <c:pt idx="8">
                <c:v>189</c:v>
              </c:pt>
              <c:pt idx="9">
                <c:v>179</c:v>
              </c:pt>
              <c:pt idx="10">
                <c:v>127</c:v>
              </c:pt>
              <c:pt idx="11">
                <c:v>296</c:v>
              </c:pt>
              <c:pt idx="12">
                <c:v>428</c:v>
              </c:pt>
              <c:pt idx="13">
                <c:v>627</c:v>
              </c:pt>
              <c:pt idx="14">
                <c:v>445</c:v>
              </c:pt>
              <c:pt idx="15">
                <c:v>99</c:v>
              </c:pt>
              <c:pt idx="16">
                <c:v>568</c:v>
              </c:pt>
              <c:pt idx="17">
                <c:v>75</c:v>
              </c:pt>
              <c:pt idx="18">
                <c:v>744</c:v>
              </c:pt>
              <c:pt idx="19">
                <c:v>146</c:v>
              </c:pt>
            </c:numLit>
          </c:val>
          <c:extLst>
            <c:ext xmlns:c16="http://schemas.microsoft.com/office/drawing/2014/chart" uri="{C3380CC4-5D6E-409C-BE32-E72D297353CC}">
              <c16:uniqueId val="{00000000-2C68-4C05-A541-0D833A313FF0}"/>
            </c:ext>
          </c:extLst>
        </c:ser>
        <c:ser>
          <c:idx val="1"/>
          <c:order val="1"/>
          <c:tx>
            <c:v>Series2</c:v>
          </c:tx>
          <c:spPr>
            <a:solidFill>
              <a:schemeClr val="accent2"/>
            </a:solidFill>
            <a:ln>
              <a:noFill/>
            </a:ln>
            <a:effectLst/>
          </c:spPr>
          <c:invertIfNegative val="0"/>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General</c:formatCode>
              <c:ptCount val="20"/>
              <c:pt idx="0">
                <c:v>90</c:v>
              </c:pt>
              <c:pt idx="1">
                <c:v>295</c:v>
              </c:pt>
              <c:pt idx="2">
                <c:v>93</c:v>
              </c:pt>
              <c:pt idx="3">
                <c:v>246</c:v>
              </c:pt>
              <c:pt idx="4">
                <c:v>187</c:v>
              </c:pt>
              <c:pt idx="5">
                <c:v>318</c:v>
              </c:pt>
              <c:pt idx="6">
                <c:v>598</c:v>
              </c:pt>
              <c:pt idx="7">
                <c:v>35</c:v>
              </c:pt>
              <c:pt idx="8">
                <c:v>168</c:v>
              </c:pt>
              <c:pt idx="9">
                <c:v>76</c:v>
              </c:pt>
              <c:pt idx="10">
                <c:v>118</c:v>
              </c:pt>
              <c:pt idx="11">
                <c:v>275</c:v>
              </c:pt>
              <c:pt idx="12">
                <c:v>293</c:v>
              </c:pt>
              <c:pt idx="13">
                <c:v>393</c:v>
              </c:pt>
              <c:pt idx="14">
                <c:v>202</c:v>
              </c:pt>
              <c:pt idx="15">
                <c:v>69</c:v>
              </c:pt>
              <c:pt idx="16">
                <c:v>306</c:v>
              </c:pt>
              <c:pt idx="17">
                <c:v>103</c:v>
              </c:pt>
              <c:pt idx="18">
                <c:v>713</c:v>
              </c:pt>
              <c:pt idx="19">
                <c:v>94</c:v>
              </c:pt>
            </c:numLit>
          </c:val>
          <c:extLst>
            <c:ext xmlns:c16="http://schemas.microsoft.com/office/drawing/2014/chart" uri="{C3380CC4-5D6E-409C-BE32-E72D297353CC}">
              <c16:uniqueId val="{00000002-2C68-4C05-A541-0D833A313FF0}"/>
            </c:ext>
          </c:extLst>
        </c:ser>
        <c:ser>
          <c:idx val="2"/>
          <c:order val="2"/>
          <c:tx>
            <c:v>Series3</c:v>
          </c:tx>
          <c:spPr>
            <a:solidFill>
              <a:schemeClr val="accent3"/>
            </a:solidFill>
            <a:ln>
              <a:noFill/>
            </a:ln>
            <a:effectLst/>
          </c:spPr>
          <c:invertIfNegative val="0"/>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General</c:formatCode>
              <c:ptCount val="20"/>
              <c:pt idx="0">
                <c:v>8</c:v>
              </c:pt>
              <c:pt idx="1">
                <c:v>8</c:v>
              </c:pt>
              <c:pt idx="2">
                <c:v>19</c:v>
              </c:pt>
              <c:pt idx="3">
                <c:v>30</c:v>
              </c:pt>
              <c:pt idx="4">
                <c:v>14</c:v>
              </c:pt>
              <c:pt idx="5">
                <c:v>15</c:v>
              </c:pt>
              <c:pt idx="6">
                <c:v>18</c:v>
              </c:pt>
              <c:pt idx="7">
                <c:v>4</c:v>
              </c:pt>
              <c:pt idx="8">
                <c:v>10</c:v>
              </c:pt>
              <c:pt idx="9">
                <c:v>3</c:v>
              </c:pt>
              <c:pt idx="10">
                <c:v>13</c:v>
              </c:pt>
              <c:pt idx="11">
                <c:v>9</c:v>
              </c:pt>
              <c:pt idx="12">
                <c:v>0</c:v>
              </c:pt>
              <c:pt idx="13">
                <c:v>29</c:v>
              </c:pt>
              <c:pt idx="14">
                <c:v>14</c:v>
              </c:pt>
              <c:pt idx="15">
                <c:v>3</c:v>
              </c:pt>
              <c:pt idx="16">
                <c:v>22</c:v>
              </c:pt>
              <c:pt idx="17">
                <c:v>4</c:v>
              </c:pt>
              <c:pt idx="18">
                <c:v>90</c:v>
              </c:pt>
              <c:pt idx="19">
                <c:v>4</c:v>
              </c:pt>
            </c:numLit>
          </c:val>
          <c:extLst>
            <c:ext xmlns:c16="http://schemas.microsoft.com/office/drawing/2014/chart" uri="{C3380CC4-5D6E-409C-BE32-E72D297353CC}">
              <c16:uniqueId val="{00000003-2C68-4C05-A541-0D833A313FF0}"/>
            </c:ext>
          </c:extLst>
        </c:ser>
        <c:ser>
          <c:idx val="3"/>
          <c:order val="3"/>
          <c:tx>
            <c:v>Series4</c:v>
          </c:tx>
          <c:spPr>
            <a:solidFill>
              <a:schemeClr val="accent4"/>
            </a:solidFill>
            <a:ln>
              <a:noFill/>
            </a:ln>
            <a:effectLst/>
          </c:spPr>
          <c:invertIfNegative val="0"/>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General</c:formatCode>
              <c:ptCount val="20"/>
              <c:pt idx="0">
                <c:v>6</c:v>
              </c:pt>
              <c:pt idx="1">
                <c:v>22</c:v>
              </c:pt>
              <c:pt idx="2">
                <c:v>24</c:v>
              </c:pt>
              <c:pt idx="3">
                <c:v>8</c:v>
              </c:pt>
              <c:pt idx="4">
                <c:v>15</c:v>
              </c:pt>
              <c:pt idx="5">
                <c:v>9</c:v>
              </c:pt>
              <c:pt idx="6">
                <c:v>214</c:v>
              </c:pt>
              <c:pt idx="7">
                <c:v>0</c:v>
              </c:pt>
              <c:pt idx="8">
                <c:v>31</c:v>
              </c:pt>
              <c:pt idx="9">
                <c:v>0</c:v>
              </c:pt>
              <c:pt idx="10">
                <c:v>12</c:v>
              </c:pt>
              <c:pt idx="11">
                <c:v>23</c:v>
              </c:pt>
              <c:pt idx="12">
                <c:v>24</c:v>
              </c:pt>
              <c:pt idx="13">
                <c:v>137</c:v>
              </c:pt>
              <c:pt idx="14">
                <c:v>39</c:v>
              </c:pt>
              <c:pt idx="15">
                <c:v>24</c:v>
              </c:pt>
              <c:pt idx="16">
                <c:v>16</c:v>
              </c:pt>
              <c:pt idx="17">
                <c:v>6</c:v>
              </c:pt>
              <c:pt idx="18">
                <c:v>98</c:v>
              </c:pt>
              <c:pt idx="19">
                <c:v>28</c:v>
              </c:pt>
            </c:numLit>
          </c:val>
          <c:extLst>
            <c:ext xmlns:c16="http://schemas.microsoft.com/office/drawing/2014/chart" uri="{C3380CC4-5D6E-409C-BE32-E72D297353CC}">
              <c16:uniqueId val="{00000004-2C68-4C05-A541-0D833A313FF0}"/>
            </c:ext>
          </c:extLst>
        </c:ser>
        <c:dLbls>
          <c:showLegendKey val="0"/>
          <c:showVal val="0"/>
          <c:showCatName val="0"/>
          <c:showSerName val="0"/>
          <c:showPercent val="0"/>
          <c:showBubbleSize val="0"/>
        </c:dLbls>
        <c:gapWidth val="150"/>
        <c:overlap val="100"/>
        <c:axId val="229161951"/>
        <c:axId val="229160511"/>
      </c:barChart>
      <c:catAx>
        <c:axId val="2291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0511"/>
        <c:crosses val="autoZero"/>
        <c:auto val="1"/>
        <c:lblAlgn val="ctr"/>
        <c:lblOffset val="100"/>
        <c:noMultiLvlLbl val="0"/>
      </c:catAx>
      <c:valAx>
        <c:axId val="22916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[Sales_Logistics_Dashboard.xlsx]Sheet3!PivotTable13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Female</c:v>
                </c:pt>
              </c:strCache>
            </c:strRef>
          </c:tx>
          <c:spPr>
            <a:solidFill>
              <a:schemeClr val="accent1"/>
            </a:solidFill>
            <a:ln>
              <a:noFill/>
            </a:ln>
            <a:effectLst/>
          </c:spPr>
          <c:invertIfNegative val="0"/>
          <c:cat>
            <c:strRef>
              <c:f>Sheet3!$A$5:$A$25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Sheet3!$B$5:$B$25</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0C11-40DE-9221-9F6B7DD333C4}"/>
            </c:ext>
          </c:extLst>
        </c:ser>
        <c:ser>
          <c:idx val="1"/>
          <c:order val="1"/>
          <c:tx>
            <c:strRef>
              <c:f>Sheet3!$C$3:$C$4</c:f>
              <c:strCache>
                <c:ptCount val="1"/>
                <c:pt idx="0">
                  <c:v>Male</c:v>
                </c:pt>
              </c:strCache>
            </c:strRef>
          </c:tx>
          <c:spPr>
            <a:solidFill>
              <a:schemeClr val="accent2"/>
            </a:solidFill>
            <a:ln>
              <a:noFill/>
            </a:ln>
            <a:effectLst/>
          </c:spPr>
          <c:invertIfNegative val="0"/>
          <c:cat>
            <c:strRef>
              <c:f>Sheet3!$A$5:$A$25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Sheet3!$C$5:$C$25</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0C11-40DE-9221-9F6B7DD333C4}"/>
            </c:ext>
          </c:extLst>
        </c:ser>
        <c:ser>
          <c:idx val="2"/>
          <c:order val="2"/>
          <c:tx>
            <c:strRef>
              <c:f>Sheet3!$D$3:$D$4</c:f>
              <c:strCache>
                <c:ptCount val="1"/>
                <c:pt idx="0">
                  <c:v>Other</c:v>
                </c:pt>
              </c:strCache>
            </c:strRef>
          </c:tx>
          <c:spPr>
            <a:solidFill>
              <a:schemeClr val="accent3"/>
            </a:solidFill>
            <a:ln>
              <a:noFill/>
            </a:ln>
            <a:effectLst/>
          </c:spPr>
          <c:invertIfNegative val="0"/>
          <c:cat>
            <c:strRef>
              <c:f>Sheet3!$A$5:$A$25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Sheet3!$D$5:$D$25</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0C11-40DE-9221-9F6B7DD333C4}"/>
            </c:ext>
          </c:extLst>
        </c:ser>
        <c:ser>
          <c:idx val="3"/>
          <c:order val="3"/>
          <c:tx>
            <c:strRef>
              <c:f>Sheet3!$E$3:$E$4</c:f>
              <c:strCache>
                <c:ptCount val="1"/>
                <c:pt idx="0">
                  <c:v>Unknown</c:v>
                </c:pt>
              </c:strCache>
            </c:strRef>
          </c:tx>
          <c:spPr>
            <a:solidFill>
              <a:schemeClr val="accent4"/>
            </a:solidFill>
            <a:ln>
              <a:noFill/>
            </a:ln>
            <a:effectLst/>
          </c:spPr>
          <c:invertIfNegative val="0"/>
          <c:cat>
            <c:strRef>
              <c:f>Sheet3!$A$5:$A$25</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Sheet3!$E$5:$E$25</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0C11-40DE-9221-9F6B7DD333C4}"/>
            </c:ext>
          </c:extLst>
        </c:ser>
        <c:dLbls>
          <c:showLegendKey val="0"/>
          <c:showVal val="0"/>
          <c:showCatName val="0"/>
          <c:showSerName val="0"/>
          <c:showPercent val="0"/>
          <c:showBubbleSize val="0"/>
        </c:dLbls>
        <c:gapWidth val="150"/>
        <c:overlap val="100"/>
        <c:axId val="930970543"/>
        <c:axId val="930978703"/>
      </c:barChart>
      <c:catAx>
        <c:axId val="9309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978703"/>
        <c:crosses val="autoZero"/>
        <c:auto val="1"/>
        <c:lblAlgn val="ctr"/>
        <c:lblOffset val="100"/>
        <c:noMultiLvlLbl val="0"/>
      </c:catAx>
      <c:valAx>
        <c:axId val="9309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97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[Sales_Logistics_Dashboard.xlsx]Sheet3!PivotTable15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Sheet3!$L$5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72-4D30-B833-59990BF0BA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72-4D30-B833-59990BF0BA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72-4D30-B833-59990BF0BA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72-4D30-B833-59990BF0BAC2}"/>
              </c:ext>
            </c:extLst>
          </c:dPt>
          <c:cat>
            <c:strRef>
              <c:f>Sheet3!$K$6:$K$10</c:f>
              <c:strCache>
                <c:ptCount val="4"/>
                <c:pt idx="0">
                  <c:v>Female</c:v>
                </c:pt>
                <c:pt idx="1">
                  <c:v>Male</c:v>
                </c:pt>
                <c:pt idx="2">
                  <c:v>Other</c:v>
                </c:pt>
                <c:pt idx="3">
                  <c:v>Unknown</c:v>
                </c:pt>
              </c:strCache>
            </c:strRef>
          </c:cat>
          <c:val>
            <c:numRef>
              <c:f>Sheet3!$L$6:$L$10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E72-4D30-B833-59990BF0BAC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[Sales_Logistics_Dashboard.xlsx]Sheet3!PivotTable19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Sheet3!$K$85</c:f>
              <c:strCache>
                <c:ptCount val="1"/>
                <c:pt idx="0">
                  <c:v>Total</c:v>
                </c:pt>
              </c:strCache>
            </c:strRef>
          </c:tx>
          <c:spPr>
            <a:ln w="28575" cap="rnd">
              <a:solidFill>
                <a:schemeClr val="accent1"/>
              </a:solidFill>
              <a:round/>
            </a:ln>
            <a:effectLst/>
          </c:spPr>
          <c:marker>
            <c:symbol val="none"/>
          </c:marker>
          <c:cat>
            <c:strRef>
              <c:f>Sheet3!$J$86:$J$89</c:f>
              <c:strCache>
                <c:ptCount val="3"/>
                <c:pt idx="0">
                  <c:v>Jan</c:v>
                </c:pt>
                <c:pt idx="1">
                  <c:v>Feb</c:v>
                </c:pt>
                <c:pt idx="2">
                  <c:v>Mar</c:v>
                </c:pt>
              </c:strCache>
            </c:strRef>
          </c:cat>
          <c:val>
            <c:numRef>
              <c:f>Sheet3!$K$86:$K$89</c:f>
              <c:numCache>
                <c:formatCode>General</c:formatCode>
                <c:ptCount val="3"/>
                <c:pt idx="0">
                  <c:v>730</c:v>
                </c:pt>
                <c:pt idx="1">
                  <c:v>861</c:v>
                </c:pt>
                <c:pt idx="2">
                  <c:v>809</c:v>
                </c:pt>
              </c:numCache>
            </c:numRef>
          </c:val>
          <c:smooth val="0"/>
          <c:extLst>
            <c:ext xmlns:c16="http://schemas.microsoft.com/office/drawing/2014/chart" uri="{C3380CC4-5D6E-409C-BE32-E72D297353CC}">
              <c16:uniqueId val="{00000000-B766-4163-A9A2-F2A622616B22}"/>
            </c:ext>
          </c:extLst>
        </c:ser>
        <c:dLbls>
          <c:showLegendKey val="0"/>
          <c:showVal val="0"/>
          <c:showCatName val="0"/>
          <c:showSerName val="0"/>
          <c:showPercent val="0"/>
          <c:showBubbleSize val="0"/>
        </c:dLbls>
        <c:smooth val="0"/>
        <c:axId val="567633727"/>
        <c:axId val="567627007"/>
      </c:lineChart>
      <c:catAx>
        <c:axId val="5676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27007"/>
        <c:crosses val="autoZero"/>
        <c:auto val="1"/>
        <c:lblAlgn val="ctr"/>
        <c:lblOffset val="100"/>
        <c:noMultiLvlLbl val="0"/>
      </c:catAx>
      <c:valAx>
        <c:axId val="56762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13C0-4C29-8266-E293C8334D88}">
          <cx:tx>
            <cx:txData>
              <cx:f>_xlchart.v5.2</cx:f>
              <cx:v>Sum of Quantity</cx:v>
            </cx:txData>
          </cx:tx>
          <cx:spPr>
            <a:ln>
              <a:solidFill>
                <a:schemeClr val="tx2">
                  <a:lumMod val="25000"/>
                  <a:lumOff val="75000"/>
                </a:schemeClr>
              </a:solidFill>
            </a:ln>
          </cx:spPr>
          <cx:dataId val="0"/>
          <cx:layoutPr>
            <cx:geography cultureLanguage="en-US" cultureRegion="US" attribution="Powered by Bing">
              <cx:geoCache provider="{E9337A44-BEBE-4D9F-B70C-5C5E7DAFC167}">
                <cx:binary>7H1pc9u40u5fSeXzpQcgQIA4deatOiC1eE9ix1m+sBRbIcF9Addff5u2k7EoeY5cNfpwdV/NmTOV
SE21+BC9PN1o/Pu++9d9vF6V77okTqt/3Xd/vg+0zv/1xx/VfbBOVtVJou7LrMp+6pP7LPkj+/lT
3a//eChXrUr9P0yE6R/3warU6+79//wbruavs4vsfqVVln6s12X/aV3Vsa7+5r2db71bPSQqdVWl
S3Wv8Z/vnVWsfmZlqlbvN98z/3z/n3iVrB9W75ysTnX//t061Ur3t32+/vP9xnXM9+/+mH7dlmrv
YtBe1w8gTPiJjaht2oyIxxd//y7OUv/5bQOb5onJTcoZXPnpW69AlTdp9KjP6uGhXFcV/LLH/25f
YONnwN34z3+/C/fj3RgB8AGLP99/TpVeP7y70Su9rt6/U1X2eLvK3snGn/r55vHe/LEJ4f/8e/IX
cLcmf/MC5emt/W9vbQL5X0C+XQer5AAYU3SCOWPIMvETxmIHxoRiyrCJxhfehHp/vXYjPZHfA+iJ
xJHhfJPFqzQ7wFq2T0wLU5tz8gjjiON0LSMqbAtRtonw/hrtRngivwfCE4kjQ/g/yeohKw+CMAFT
jEybTqFFJ5ybpiBI7FrC+yu0G+CJ/B4ATySODeA4V+n6IAAzQSyGLfpkqu0JzlgAzpxbFocnYNMf
76vRKwhv/qJ9EN6UODKEZa31IQAWJxY2CUWvAWziE8sCT4zNiRfeW6Hd+G6K7wHvpsCRoetkcV0d
INQi4sREwiSwgJ9cMETNWy4Y2YQJam2u3/012o3vRH4PgCcSx4bwKl4163JVHcRIY8FMbHL+Csjo
hNnjYzCNsyDF21+pV3DeusQ+UG8JHRnaH+LV/fowAZctuICg+imsQmS6nvEJ4pRgZP5OrV565f31
2o32RH4PqCcSR4azk0HCP9rtSh/CetsnCNtCEMJ3R19AhmBCbYtjiMte4vxWvXajvfMqe2C+U+7I
kL9Zpe/OslVRq/QAFp2fCItb1KRPBMiuZW4Kk0JQ/uTXJ7HZG5Xbjf6ui+wB/i6xI8N+DszhQQgT
dsIJZpaFXyHGxmzLtuAfPInW9tdoN9YT+T1gnkgcGcLuOn53lQHH/s+vbYpPYGUDOTJa9vG1xXBT
iNkpAYZ7QnG/SandOG9fYg+ot4WODO07cJ31oxuv/+FqBkBpQ3qFXnPgsKCBI8OIoYkDf4NKu5Ge
XmAPnKciR4YyOKYxSCvr4Z9f1ISdCA4VC4TZ06Ke8mQQqQFLaiMkplT3m7TajfWOX7YH3Dukjgzx
WfzOzUqgvg8AuH3CTcEs87lMKbZqWECAizFRs9guAvxNqu1GffsSe4C+LXRkmC/idXqIiBx4UhNZ
WJiwfqcMGhY25sSauOu9NdkN76b4HtBuChwZrMs6+ZHFD/qfX8lQjeY2w5RuI0tPMMMEQTfCk1Hf
zLHfotJuiLeusAfKWzJHBvSYPrpq7R/CZpsnHENaLcypd8YckCY2tom1C+k36bQb6u1L7IH1ttCR
gX2a5OtSreJ/flUTwBpwtkYq9PE1JUqxdWJBpm1BJ8ou//wWzXYjvnWFPQDfkjkyvC9WVbU+gHcG
G06hRG2LZ7psmy+DCgi8TW0G2fZLonR/jXajPJHfA+OJxJEhfJr2h7DcDLoCTQjA+HMbwjTaxvYJ
UGaM2fYkj95Xn93obkjvge3G548M2fN1eYCVS6wTwh/bD57M8FaPGDAkYw0EE3OycvfVZzeyG9J7
ILvx+WNDFvqKD1GWZicAGvTq0uegamvRCjDKloDOkim0+yr0CrYb4vuAuyFwZOheZNW7/6T+Ol4f
AmN6Am28JrF/YbwVWUMPKCXQJIifehMmhao3Krcb710X2QP1XWLHhv0qOkAFA5qKoD4BgEJ35+Nr
R1ORwBZmNp+QnRd76vMKzi+l9wH45eePDNnL1QM0Ex0gbwIim5nAZfHnhrGtnm10ghj0HFAM5vxl
JL2/RrvRncjvge9E4sgQvq3jVXmI1QtumaBxZ8VzC9EU4ceaFATS2IKc+SXC+2u0G+GJ/B4ITySO
DOHLVXmo5hFOgedCz7WJqU+GWpRFMKTCYpIs7a3Qbnw3xfeAd1PgCNHNs4M09fITsL9goe1numPH
ChaMctsEF/342lzH423fV7PXkd64wp5gb8gcG97r9CG7VwfpCxIneCQ+OH8mM6eAmwRaRjgjZGwm
eWmyL9+i1CtYb11iH7C3hI4M7atVfojoC7IlARkzpMRPkfWUtR53vwKNiWDpbwK9rz67Md6Q3gPe
jc8fGbKX6/Iedu06B9jZTBATzGbP1cQttwwkto0FZMp0V0Vif712YzyR3wPlicSx4ZyBuf7nYYb2
PiqQAFrruRNoq18AnUBjL2y3wpPw+nJfhV7Bd0N8H3g3BI4O3YM44nFHswXtAs9LeKt3c8ydoM1L
QOC1aZ8vs/30eQ3bF9J7Qfvi80eGLBTFxzY+SI4P4YA5JMeUA7H1mpHGJ2NqTK3pfrk3qrUb510X
2QPuXWJHhvp1uQIO+58314RAnwB06dnstQ3OMJDEgl3sbDqFYn+NdmM9kd8D5onEkSEMFlKvy3V/
AIzZCeNsnELxvD9yK6rGJ8xilJHpUJm36LQb5a0r7IHzlsyRIX21blYHmR0EzpeZHNrtn7nrHTgj
DDud6bQJe3+NdqM8kd8D44nEkSH85JDkqvxxGC9NT2Bj3Ehgvr5PigkbRgjBxvYdBNib1duN+u7L
7AH+bsEjewY+xDUMMzuANRcngjAOnffP4APltdmQjU6g0QsyMDLZJLe/RrvxnsjvAfRE4sgQvoXy
BUx9++chHluyoXUEShjPy3cLYhMghm58mGuxmWa9QaXdGE8vsAfIU5EjQ/mTgrEVlXo4TPAtbGQR
8tz7td38BekYDLWABqFJOv0mpXYjvX2JPbDeFjoytG9W9yXMU0z1Ibo47ROLwzgpCrNIHl9by3rk
zsZ/oCFwfE0W99t02436jmvsAfsOqaPDPX0n12DOD4E7dO9aMAkQ2kqecJ82AsKMKYpMBJtwJv1C
ECi9QavXEN+6xl6Ib0kdJeJluiofDlO0hN1TsPUZ9tQ8d4lNszHYdGOCF4dxNps+/An0tyj2d8Bv
XWdv8Lckj/ABmAOtdq+q++wXBP/MCF8OG5058KSvLHdzTN+wZZMdyP/WaJ+w8nXgty+zJ+7bgkcI
+0WtqnfXP1SVH8LcW1CjNhkQLfAUPLvxaYIG038RjBTcgf8bVXv9Cdh1oT2fgV2iR/gUXMJc6kPg
/9iexKGI8uzut8I8aGIwoYYi6FaAl77bW6nXkd+8xJ6YbwodG9rB6iADyiBRh8GvsHOWvDZ50DyB
bbXIBnvwy8M8jWu/2VujV3DelN8H5E2JY0NYrcuDFERh7gFDBLbAP6Vku3ZWwptAxsIY72dj/7IB
7WZvvV7BeVN+H5w3JY4O5ypSfVbvEx297eSFcS4VgaDM/HXywlaWZp4wGAVtQfv/ZC2r/XV6DeXJ
FfbCeSJzbEhDx8ghTl8g9gklgkGb4WvV0McxCYxCj/EE5701egXlTfl9MN6UODaE9SpVVbyqD1El
4bC3EsFQGvbaHi0YFIvGrXl8sgkAjit5g1avIL19jX3Q3pY6NsTHIe6HGAsMDeLENGEE9HNNbKu3
FDocxrM4tirfN3tr9ArSm/L7oLwpcWQI39YwyT05yFEMMBPWBsIMMHwMtLaKJSaCWNvE2DYn/vkt
Ou1GeesKe+C8JXNkSH/L4kMkzzb0KsGUC6huTsvaEJ9x2EcNI6k23fK+iuyGdkN6D1g3Pn9skNY/
Vv98YA3bpTFMp4HZca8lyXDEBmyVtiGRniC7pz6vIPtSeh9kX37+/wFk/17FjR88HnT2n1/3dgfF
/fZD6qCBnzFoP9ptiqENnGEIsAH3Jwr813c/kR8vT9Z7SpZ36bQb1ZeyG7/x6Sf+/U05zBF0rx9P
9/ukP3elV7PHMwJfnFD39+8+/nw423Ai+ry9bccN+70j6vThz/ewf4qMHb0vkB0vtLE57j9Phxj+
wmZTbA2M2Z/v4bxBqE2Oe3Zs2FFpw1RmMMvt+vktILc4jL5AhJiIYBPeSmFmdPB4iqGAk82gd4GO
Q2Eh9Hr/rsrq57egAZHAeocdmlDqhiHPv37phyzu/Sz9fVue//wurZMPmUp1BT9rHJWSP31u1NdC
FkwZha5HGEDJoKgCs4Th/fvVp3GiCXz8/9idX4jaDurrUOn8zI4FvSzT7txO48Kx6vKOJYlbhDpa
phmPh3WQVYXxse572ReDcmzcxR9FkKdSR/1H7dOzrEqyeRFXSuKhbySPsLFQcUMlzYO5HzXBaVto
5Pi5R2XVVn7giKZI5wnP4/qm9/NvIugzaUADl+S6U6GTmxU9azpjOLPytAs8p7d7dVbHkdubnrHU
RvnTF+ngKAN5ix5ntQxwJE7j2m/ucmHb56Zi0aVN0nyB1U1ekyCf2UmP5jm2lduUBnJ5I1I3IwNx
41iZ0mTClyUW5xEv9azwsWNpU8+tLr+yraCRDcnEvImHThqe7uZVkLbLsq2ucFUJR6fFt7L1L3rc
zgLUu2ZlXiLqn7eDDqQO81oqry9kaNtOW1f1LAWEpe8ZegZf5v/02ox974ew8eaFVQSyRsbg2EGF
l6KsPwURubFDlNanOQsM/VHhtFhaRe6kRcCWhdVX6Q3TSJQyqD3eSMI9uiC4bUJpedbPyKvb05Ed
WtRpFLlDkn7ow+qK0fwsjYOrApnntjbmWdWeGQlzs8GfV0UqUTg4lsof2tT8pLT49vJYyo1n8j7L
+1L5wfPhor//+D+3WQL/ezyn8q+/HM8m/etPi3U2Gr9q+qHRePz+1F9nXY6L9ffBlxMT8HTA6a9V
85Y332A8gM2ERfv77NIt4/HyjIupBXmSfWFBrLEVlQiMIUuzYYW+sCBgIIBCh/0F0M3KwFz9siAw
0AxBSidgug6HfuYxS//LgsB5HxaMsWRjBxyHQRy/7sUGWmA7d1gQE4GdnFoQ/rjv0IbdiWDlJhZE
JHwQaWM113GjTFifZZGhs7jD9CwdsjB0QpZ87kPflLwzLuzUJG5oJY1sQ+YGqYEk1uFt5+vzyO5u
GtRd9B4OZR4wIevWHuSghjOh9F2b9Fc8IaeWYpLEXiYLu7rOu+6M5TVzuqQ4VUPcyqSqZOv5Qnpc
dIuSkJ/E9rXTPj7IKuqdXBFzVkZGIQebzuswtB0ao1qKKvjWMy+QVUz7mdB94qIyv6WsriWtDdOx
It8h+YCcvtWS+kXjlKn3JRbY1SbrnbKqXEu1P1gdydArEhdGR94XIVdOw9RXVnSVhF0Gp6SznbpQ
XBqZ+ZX5dGHzfHC8lswDuzQkqZKlyRrLbTJ7WXVgfHvalFI13Y8+834kurtGWVBIK9LfFBLKSWi0
iKLu1A78dI67tnTLxsik7ecPPqKW2+H0a55ZoSRBQ1yv1mvmmcNVFfUrlVveeW0p7pSWmcjAZzMj
tfEns+KlSzMvcBQcRCCzqhOLto3OsVU032zRlETW4MfmWdg4A+VqRj2ezeOeICe2umFmBwGSvhgy
WZtpddkju3OjpCnndqZy14uN3tHwNMuyioKZobJy1iPlzVJUqXOFsnhhi1bfmFYz3LVDE7gZij0Z
VTG67FnC50MbRd+ysjHPFOfsa1MlyaeqxMWHgJnq1MZld1EIj7hNH2dnJivKWhqUhhdem+bezMi6
i7ocYlMOCfJ+dLYybLe1jOI0NdHHKBN4FgRt/hn1cOMXHtDd341Q+D+pHdezZDTWre7rWQT2u0/M
QlajSW9G416V6hyDtdf9AHe9nRXgBSrwBmh0C0ZRX5Wjo/BGl8FR08l6dCN8dCgUPAsdXUyRICd8
dDrgfTyP+TIaHVI6uiY2OqmBRtjNRsfFRxeWPXozU93wJ/cGji4bXV40Oj+R2PYpA7pBBqNrNGxw
khV4y250m0keut3oSP/XmEMkCKNQwOq9bsz/6u/bNuWj5AtTjkwYa4UgtreIQFDU/G3KYWMgM2Hs
yvM7IPWXKecEyFjgZeA/Jmwf/cuUPx7wRMfh4dAMA+Gl/SZTToGgn5hyDqftgnZwpC41TQu+6WUw
SMImrYasa6+72EYOrVU+J00QznJY6Qnv9LwyoorIzqLNtzZMzvPRNMDZFFzSQinH6/3K9UYT4o+2
xLYSmfQpdxhSxjnSw8oaTY8AG9SyoprxMPJlHns3pDbYZdrEgewbUszzrimuYLD2LPSDOx20sxal
aq6EfZZo84yW+GfU9XdtkJxxGl0XcelybC6FCkIpwiSQKiG5G8bYl0NPYrdDtHJ8UQeSWmwdcvq5
Zcb3qDHWbRMULvf6xOnavpNQT3kokh4WHTKuNGpqF5dpL9uoTWUj2I8+oJEr4LBTJ+aNlk2tlVv3
2V2QZB9N5s9YVkaS97R2ilo3M79c1P6lr05ZTj4VFbsEr7Ue4kT26QeG89YlZXSVCjYfuvBLUhDp
md59kFq3jQVeCIU/e5/mrorNj3YJ8bZdD2jW+NXnzNCm7GudO3UcxPNOx50sBCnckvU3ia8tV/OW
LisbhQ6Jg3IG8SKXQ0YHJ1EYbIAXipmhWeVS7S+jgFYyMciiro3wk4Vj0+3MOJNhT0OJldW4VmaQ
y7KIlORZ2ziRjfOzwSg/gV+IJTUytKi76tRCWLkl0WpO69Ba1p7oo7vUN7h/aVZD8iWsLEPIOCly
uH3N4HSEtbLpVDtLLftnJYJlFzTXgS4jhySV5pfa05X4XlqDekjijBuuwLFYKoq9uVUxfM2R6pxq
ELXjm306z2mbXSaDqT7brX1XatUtYXPP90h1iWM1ubpuaWi6Rl6Xc7O3b0XanpLEWuSlVy/iAcfL
EuPPRu1ht0YtmXXekC6aNvU/JTQpJK/M9LpKhVsguJekai47SFNu4QngTk555oRF3H2A2bbVzK7b
/Baigx8VdKye88hsHBYG6xwHHXjLHs2UwFeGnXlaorqDW29hhwtdL8vaK5dmyeKbghXxdZPx9DYy
e+3mWAVOQ/PbzNau1syQQz1o6Str2bE0krVnQJRF6kzqrL9utfAcg5Sdk4A3m1nKbM81w/a8Vx47
0z1adV7uFEF7Z/c0d0iKepn54A58KnppdtQ4NQzRfo/CtpXpUHiusnW66PIsuo+IVS3juoXYqbDP
ojboluD67FmpxUDdcsg9ySxRfmwJ9i4Cn9iXdtNfVaOzF6Pb52MAEI6hQDcGBXoMDwwbAoUKR0hG
Y/Dwv/7o0R8hyONf90e/T+nYdkej4C93BDQT8AgCynww2HqSWWAgHeHACkGgEw/SBfAEv9wRTG9k
HDZIgbdCcCQo+JzfmQU06ENNEJILbCPgJ8C/vSGzANc2dUcwUR/GzIEzgmmRkOhM3FHhe51l4Ka6
RjS7a9Mez8E9uAaMLZM8rMoPxuD5yzRh2VeL5toRVlxIzQ0u7WQA22A06dng97WMhrR0kEe/RFXE
3TK0IQsA4mY+UB3NEzUoaZVe6WhaZ7PCE41TVFV7EYYDVL9SyDY6O4Asg38WVXrqB0E6Z0MZS25l
Z9DU4i9Lwk/B3nzxWhbIJsxvyizoJTOUWGLk36e0ue0IOjeS+ipDAQR+voclKkM87y2cy7w1LuJW
LfoCjHM2iPOwj7954Ok0y6vzoK1vUOPHc79ggVO3DEnWWT8YZDBLrbtclp3Vz0XWrVnG1twWoVsF
onarorkUHfmamll6ltdg0aGSuzKb4GOQtdkpqHkv0uQ6skppk4Y7RsCy7K4Le38GvbeLCHvZwsrZ
Kg7R3M/ij4kXgN2xkjWL8ayDVAhncb6gRvDAy/ZTyyJ/CemILZPG8mdROwxuqAw2q43umgctkco3
75RnXzbEMyU1cSZ9bGcyzVsmwzRaxA0YZKa/J7iNZUF0taghvxsG2p7bqL+z47C1P3QVxNS57oZE
xjYtxUVg5D+HOrCk1zfhrApr6mQdV5IOcbdIlEpkoUJxmhd98JFE5mewpErmfYGWph3IwY/ItwFx
mSdSiPq2ZrF/pXUK/g0lpZgFRrTMrWzWhugTzjJLktQOZar6CkIEdadaK5deUNuSGDp0ic8DmbO8
A4+ptTSM7IMfemARK39hMnTLDchr27B8qOtuiWJ2RusUbjHkmV7Yfckt9cBJcgG2PJIpLgrZljqR
3KhXNKl6J6Tkm2HG342cWBL7fNELmkGaHC5N5N8UPKvcrh7mhklSWQxg7dPI7ULupnF0wTx+iWtD
SbuHCGFIf6I4s2dNbTMw133j5JFvycYI7zEzvsJOjHkfdJ/iQF/0jXFrGcF3HcfroIyELGrjvOjK
K0S8z10anvdtAmh55p2fkNQJSu/W6/i5DuEO5aZP5yTnLUQM4io16TePt59hTMIgYz8Onc4Amoor
9KOi4lNbhld+Dq7ZA+rN5s11i+kn0sNvSTz1sazwKXCsDoxhOPPzVtasPc8N64ff6zub+o6fWlcN
ta4DNSxJmcgcqQISxv6rVdv2IvSNREZKmA6YuVz6hQHJfp910usaSM5V+bWskjMimsuImKcBGu7q
NLDhfnjEKUh7mpeWcuCBRTI34k+VIj9ykoglj+JSDsxemDoks1iBG/Q0+H+gQJJ5JoblQE0lwzwJ
T1OeO12F57bZtXK0uGClcDaLaPMhq1EjTWBE53XTf/RRn0uMiiWCWwA26SPp2WVYi3sIOuHZ4uyz
yegloQVEdnWPZdPnkB6PJq4MBrfx0Y0p0nnMIRI28yqRVZGdwaTdeJk0xMGxrqWfaAbxSPelHvwb
jOgPnsSp65v2JVCz3sL3DWMeVvEnSDlKWfgRdnqT/zAVj2Y4jW1JWT7riTHIRJkUWMx+Hqn6Z6kH
7yYshtBRJb5NVZPKGnN1nwfGFcuaZgaU4qdWqS8txHglxHoJxHxDl7UznXqtDHLkRI+RoXqMEvEY
MCaPseNg+r3UrMlmwIOdW3Z5K3qIjsuEQwI/ZN+zQYlZThsCBPTw1WtEJ3lT/WDaKJyhLj9QFV8F
Pr4mlve9q+qfuK5TWMblWTyYs8in8azW1sc6Gi5rYQBDg8oMfn8xs+PuAhnAdJR1iqTVekiqob4l
HVoqD+itLLwLG53JCLI90Gb4KqLusir6u8RqP+Zt+AGeB7gJXf05ifDVYAEjon0Vywali5o3teyE
vklJf4VZdYa68Jyi7nNqAm1FrQ8M0qhc0BRYHFjVNOAuj1kne4uCk2NACKhQh06KTC3Bxrqtypdp
kS7LUA+SJxWYHabBEpFeWhhodoa9eMHy8HQYbHRqRO1pGrLALVUWyLTX5mmpIuWKOKxnGcnTWYRK
JYEzxtLv1JybQyj/f4zKXsZWwKb+banoZdXtqWL3WH15lPodjcGGp3EQOpR7YEiUbcEFf5MDMLBg
HEoxsgBQNRwp1udojMK5gHgcKIXGUiGcCfoiGjNhTCtcEDbT2NBgDWcgvCUawyONu1EoEgxiIjCz
MAeFwMnCY7D2olCkB5LlBbiuq7QlYta0XpDLjIQ8ciLeNh+ZYfVnYdek0QwhICd1RpvPEa06oMhE
Wnx5Ec5+ePrajbrVVtkKiGY4kZ5DhQxRIOEmpDNN+zwSQd1cmUWKr3yI8DxZ8wxCpA6WpZBNS+tv
vMnB6ZWJrQunCEtgG7yh4tSB+Vvpg9AaXcM1gto14xh/HizDxoueWd4a9wbu5n+vsbnFrYDGQPDC
GTNwNDOQOWjz/lHFA8C211eks3zfZd0Qf24oTKGYa95DbNH0HQ5dxT1bDpz1SvYRIgvIlXoMlG6m
H4KuqjCUuXLLrbTKGqmTAJwHL4GYnvlZGHyIanGWQCpdudBJIO6qoDiP4tbqZqoCgkWVQZMs/v5X
bcMAh8UjOCkJTpuFE7Aef/SLh4L3ht8aeVxdpdoTd5lvYwjuIhMejTytuw9tV4qb3MPx17//2mli
ADMOISfhRJjwLML/jWq9+FoLdUCNVH56ldoDvsJRUF+lVeko2wvu/v6bxhTj5VM/fpOAvaWQ8MCO
JKhzbH5TntJ+KMogu7JzRFdFm5XxwtN2b8ooD2aoqOPBIai3gQEgVpv8t4dmfCg2vx4eFDi4hhJo
FwDrMPl6mEmkgNdP1BUvImuVhLW1iuJRB2tIqhkrs0z2CKBftHHRmrKIMr7WsahOW9HTi46REjmk
DbMIaOU0+UzKHMovAYSB69xocheKiwl3LJHRcmkRNtRPhh5KbruLQ+Ox0lP9+Wg2gGox4cxiCjbt
JVCI1VZqWZ4B4aeXrFSpK19iI9IplaTvU/+sDVT0w7dFftENRTBnGe3GYKvhPzUH/+70gc8dCpWG
tYI066Gx8oA/cdavKkkfac2NuwxZLDxE47AI2FVkcWijeaklK22FykCTy5AWuSdsV4tgWHS6I2Ku
m7p2yq5AH5ukt4BLDwKol+B0UZllvohpbjpRXCSf8thKIPaIW/8LMKPZaV9BDpBDbfYzqyLb9YrU
c2oohympNAlb6YVVetXmRnVdGAOZ+T4WoYSENk0cSNKSpcV0/MkM/Q9+n5JOxjUvrrRX3GoTyDoo
BphwI1Vvgm2g9TBI1NrhRRxY9jcP1fQsYDa+GPyuEU6LApo4cDvUqQFEYiLb3h5cDCUPdwi7+7wq
9A1UmSF3aRPN515V1KfUM83bIsBttPAgbVFyCCLvB0y9Kxup0sL4Xic8cfO8Mk+jLM1PcSHiB9VA
8iMhNo5ulIA0QDYF9c8gsa6dHu7DAvgGcV20STejbVnMMe5wM4stjn2naX27cBoInWdJRUq3zsV1
4Bk+cjHO9BJcjdlCvBMyaWsef+0SFJybpchvLKKtRS1Cw5xXLBlWNnCwswriqWHeRLY/N7oOrcwq
bn9Wfp5bzmBqKPWlvtn4QJyGGSyOtp31PuRC8xIqXm6sSbJM4aMSzHmZwY1OGi7DKgwNh3stBw4U
WCpJdew5RBtpsihZNPNp3aOR9aKuqkoUyxCeJD0nuhXVoiO8u2DRMMTeR6DOdAIMsIr7tHwIvMA0
h29Va3QceGtRginP7s0+CTVE37Wu6xxd6UgnUQcl0GJYNMCde6dJqVQuQ2BpbxA3yGnYE1JDUVFA
mQxSWwiBhwBqP24KFaTA0XHUFjMWtT5yylhj7zoogODJllHP28Dtu1joC1ZpAk9U62W4ap0afOGc
GUHoXTewdJjvFHZuwwNHoiqZp7EqgcktwHl5M0ihmGN40Olkyd5DKeTflZckDlAQrTdvYx4ns8qD
qGBupX4CrQyDBRYzNSNgyZOgNCAirqBq8KFSRpLMMl/ZP426gbTQRZmpF4ratX1lGZ7vnaWEa25B
3NtVxdAvKwTWLZjlfsCTmVc1QzEXZQWFgj5mSb+EqluSO5bZx8rhQJHEi1IVyoD4mZpfjDwZsAvl
lihx4V9kXAPNAeE/0D3plzBJRHJKSqHjWRRo9mmoNSHzEAq2GOiYoOKp5IEZ6IVXNnl6A86YnIX+
YEbzOgcNZpmOfaiC4m4Qjh32eXuZ2D082gYsldL1MK7PSmJZset7xK9dnjYAp+IVxCfpEJJhHUew
AcO1QYHEJX0SFKcYKbr0IQtjjhlFBXFVpjx3qL3IkkZb5uJD6LUhdYgqQsjN8nCAgosX0znOPcjt
eSB4PsN9MGSngcItMDSCBq0cPyexUCKFx8cnBdRBFOR20HdjfIfSR9YbUHmObPMKD+lIk9kNNcht
H7dmfcVySKLdVBT60qpTcEl+xSMQEAmBu+WpAKffgFdPg7OiT2Jok2mByj/H2te3wMRbK6vzEk/a
GB7eeZ12nMwqBrV+mdQ4TNyYFNH/Ze9Mliy3sS37K+8HWAawBYfF5vbX+ybcJ7RoCQLsQQIgv742
pQy9iFCmVGlWNUizN5FZyN1vCwLn7L32oUqZKfKKVsNbbQwqC1EK/aiC0HzqR+4ddGTKImcSmmTS
sgKPE6Avs7t21Gi5bO/592oK6BOdHPwGTB/F0okukc2124jqMFrXRS8Ulcq9rZwofmnJsC1OIQa1
j2rF1Z1d/ImlZDD4brhp8cI6hU33jBMsfvEYweqGYCXHDICE7Y5wLAr3ToyzlA8ua2P/aH1h5utk
p6345Iu9C6QT2rwzDZ6669ZVJ9ZtpnVPZLS9+e2lw3XYXlff0Bs/aPEu5iHAR8VlJ9c0lhqXTl+X
srpvxwiX/DijKijxM+yp7tTy24H6y4gut+cEX7cZ7XxtHN6rpCLzYCG9R8TLFz2426aBiwktPsUG
YmO61clT27wUuG31iekKeh7jgcS6WMrwo2k9vAw7iuXBmyxR5xJlrjh3fSvFI8NpsVctoTdDXA5v
kI7DIeE+r9xTx+C+nQvelTpbxmgwKHAXb9+7+FhTEg3LZ1nL4M7OinSHgSxavpqwKdWhKZzm27LG
2x5SDTXP0AcwL6/chatdHzbxK4ztZteYvoRF42ObW0bDH6puUue4kSLIAnd0S2x7ATgGzd34ZRSO
LvPabXGZrFB44qPfdnT42mBDXk6g5HBtmG3HzkXg4BO1etU5DhkznOk4u2FaxPWkcdJ6mqD0HsT7
GOv4yVlQpp/WeBrpl0m1kL8aoHj6WBkXD2UbytfUN2VYHnt8LSZ15Ob7QRmZrnaJ6keh1QDdSx38
xurgsJoQX44kEEL2fS277tqG1r84E4TwnA9to8/lYnqeskA1/AmViPpC4hbbCLZOpRPJgdYlsdFs
wCmwDI91OdDqA+1Wj+lkRQW2PPeT50DiHFQx5jxyZHlyit584iVxNAxOFcpjFRN6b5VTrPtxHlSV
QwLBIq02xevOynoNbpqwr6EA9pqEV59y36YLqhuVG97jWzOsrYDSrVGDvUOpOqfWs2Oma5eN+5UN
WP3St2WULcVCVFr0KhxeTbDQJ8FHrDWcdPEL1jo0jTZuKTZYt4/FjjUc5qGd31yYbYwmUuroOXDb
wYDkKCf/6hc10w9DoWKwJSVWdA7qB98mGofFXipvkt0lGnvu3bkWSuyxsBDskspap7zK0YE326gC
ewaqsXm61nWB1z/GEjgcZ5JnxhJyXAYf1/0CLgtyc8Gj62+Nxz9Y13+0uL+jmj/iaz/SbP83WNy1
+jx2qvs2/crF/fRA/3nwnI+W7l/7W4+/5fp+FGA2Xhc+Ef7qu5yCWx1gEjOACsYAyLnb7ab+kFO8
TRnxwFt4BHDuxuR+N7fYNmpou9Mr2GucwdsDfsfmwFpgqhweywcuC3bj3wJvMZn/p9ZoSzv7GF3j
I/uMiaMs2kI3PzYdsu3rXhJBbjH2aOS7gK1jiopk/jxCh9O+tAlpCnkAYtqmgsYvxaR5UowgFjBh
/NPU1I9RY+IE7WOGxBRJir76NDvkqPRwkY7ArheMIqkGnRWhnnbSo+8msiX6FqPOzTAcBw2eba1u
UcYeGx5fgYQldASrNBcCxfgCWzZS7NBWIl+Nk0UezGcTdmnnrHcynIu0rsyD601vcRU5oOPa+0U6
NOl658nh1ZgWWijYL9WuLMJzLT7U1fKOInRORCAAbAmSjINKaROcG5y7uYDhvnSdeyW9vyn5fkKo
f16D/ka385mp4ksfm3MFHstdQnnvWwB4ZVtcjQ/2qnSdNzMGuULA6eOIwgXUBstWNb5ULvlSRgLd
TY/6JqzrZxs5X+ZA442AJ5CSXZe65DnFeyiIvFZr/1GJTu10IavcLBNqWXcI9m1QYJsAeTcy4Ix9
catm896EmwQcuRfLhv3kyw7VTwNYhEHrh+szFMGtdHsP+vF6mA0FOrjGLyKMd7MJrqBP9mRiOlVM
3LcN8VPd2gtT68WA3chN0X+oeOChLRoEAA/5Mqglwl43fQhWcwZBMyaTar51bLzi/C4vXJY3MU7c
rJ3C3Kh5SunkHlQBm0UN5ZNbj0fSczDb0RSfTDj3uRvyL20ZPZbFsp+lsXnTNacFZS7YNOer9fvz
GsLsFNMr/h8AcHiFvmYs79xKJVxMd60S9SW2zVN46aiskxhdYYjrKeMeeqloVt8aOhxAtO1DPaAV
mcdyh1+EGjDkfTc3CZEaPLWjHqke9yKQb/5C93E5gwtiwVmJCEB11/lZ2zb3s+DLblBy509rna6F
zhce9QnCyiyV63jt41oloimm3EV14ZbdWQb+ro7nNZFgEnxpToJDN+fjcgMPYk/84jytAZw6VkXL
57nsxlfeTtBHSqBzSdi10YPbY0QVHKmxce5JHw8PaFaaek+hi08e2Um4poAci2+ytF+LICYp72o0
qkN0ilr7osLx0yTnIem77j4q473D5T3t6yNjTZBCM8l6G0E4ijQwHwI+MphuqFf7eHN9PkQRcFAr
Dt1k/ZwXPqyjOlpTlAoNINYmmzq788Llow3dbLD2nRUsJ/HyjC+aJ0w4x6VyLgDD91w6xzbukhBu
TinqLHaKg2jg3LC2TCwsscVfT14/vdJhzHiwlJnb2J1u0PF5lbhE1SDTSbpJbKO9iUO0Fw2+kJdp
FPvFzruZmVQ387FCl5bIFod5ozJexR8aAStTjfyie0Cy61DFO9uEc7LK9hAP5Mab4s/K+LgIlnSx
aFCkH2dev1xBEB3N6PVJ45Lx7BqD7xYWrzMfZjV+nkd9KyzLlPCfSFXCul3GyyqjEHxXm/sSVyGB
uTtYGu+AlTwGc/F1CBVWp26OU1yyVEX6AAvVgsoMDr7X3BVk1Wfew66rApS8lU65P19N1J6t08KD
lHXql+yt9mZ4UewwQ74aF7KPo/muCvUrcftj4dtdqEmUS1Fj/7OtAweme/DmeEqrdbz1SZkspThs
qHFf6ZsiXJ8GyHeDO90XLjrCQSfhEKAdiJdsXd1dGI6551A0CUpnqmtX7MLeLg6mM2nXHQNVkMZo
t4aefKoL5SaTO797FatT4wbekUblHQW81pflPV3ZJWbwedfVqcAumBMJJVgcw1PZlyJvQCocvTKY
9zG3d17t7GS93Lkx++a5665t+kyFU65G5uyqamhT40y3y9TfTRF7ttXM0yYI0D40QZxbqBIfpFcs
Wdnrb0LNZ27JSz23RzF1Fx6jNp3H6mFe3cytxm9BueTzTPsbbu0OneuzpO6aBFq+YAfOVRvcjw5I
75LEb044vtrBnk0DcVlBfwKLvbVzEIIAI3Ab3JamPPvThG3cX47FEIs2ocWw+IdQKfmia8fIjDot
3TnrZFJmWV6T6ugGErS5acDsdvwLjMQ5W3RnMzXSj/G63tKx8XKUCyVMUrqzI8ywwhu+RZOWaTzJ
KwgwbJeLbTPeVa+dcO+6xn3wZQu6rfMTy9VnzMzIJhKfIme5VaE9ri72rzGiEKKC9tkuzktvuyeA
vjJBi5X1dUXh1JtbLUN0DSt7XNse0ZRZzPfjJKo8qCNx8FsCtKDQDTgvCkjz/EM99Y/q80eDxQWK
+pNyi0mbCBagSwPL4xFAqT+XJ2rAAKYl9uJb+tgkH4KdvoOhmjRp/PHpQV27U5V36XSoLsHeZPzQ
7fgpKA/iyvf/X8rg/7wCd4tR/OsCF0rT9PXP9e32R3/UtxT1KDKE+Ha26H6IL/CP+hamIOrXCPUl
yGGAXX/Utxi4hBvrIqaBWwx9T4x8r28x/R7aN0zEIPBwo7jY/3fsQoRT/rSAYNGEMB8xiRmh8+31
/Vjf6t4qSH7cu1XWJ+lq9dEs/pBR4cFUD4dd57nAFqblFQazl6nS/zx67DIBG82CrasXFtmlaeTn
yQC9aEl7dQQBrLT2c2aVvrHjRrDGI+q4bv60xO0br8ocUtOD9MUevvbJ9dyHoe9FIgYQEnHvKqS6
3EvbQDQDXPCsZNylddxM6LeLZ2RVXgOIiQlUGZuGtrkNSu+WmjCPQVFE9XCUweodVw1SbJYuSzW3
exiPucv6bwi3PcymDE5tWewRgvrEqgWJkvXFIg6XSLdxEw/CXRL6TYsjrkiJ7eY06vmLofO7tNpP
ueQHd+7apEf8Imk4FOBJo/aveu8GcMSplr4HJmj8NmhOE+t0U7rW7LZqxj415XArQLmebAOiba6K
EvmATkIHGMs0JmUBBrMjGUTZNUwGf/3GXC2BzESf12rjWoqG37towROuxq8ce9VVdPUxiB20wG6/
7Hmr2K0CSptHkcG3NnMcgOVUgtoA0SLKduPeaLhHTKVMwhEKhm+j8p6UHt2vvShBkoB9aFqUUhDc
u43QLnOy1OLgebbOnapy94JvVhrKfg98G5ZA10H/AY5LLU7a2lcAi0lf7Hzj1fkIEHw/dV6Tt564
IAR3XidxK1t6nJZyzaqGfStWuAUiavzcAbKTLfMiclpEyx7ZiDonAoTP4NMFqbsh3k8CUQthR5yA
Lo6ophzhjUF4fGhNxPZzH/Dco0QcCCmKTOvaS5TnOfc1ZhgmzYp3OtgwTKqQhDtWOlMqFsOSBVRt
Duhv0ydkdQqUMvvS5U+Lq+7mmbTAyxjQ26n/1NUILVU8hIQ+xP6pj8HYl3SzgNftI6rc9t2oQDy3
0G4T0H3tYZnhd7u27JK6aOltgPQPKJq1gIYR4TMeUSoxA2GCG99AYZ6rL7JB5oiIqABD3jgHMond
HNR5UbQxjB8YN03cjgnU/iZhvkBkBrxdNvZNnYZahPcrtffCzg+haWSuXEGrtHbrG7g/0wEC4bep
XT9NVPPd1ONcq+N6vFYQe1LPhlk9DuExXExxCZ1I71nR+g+uM79UcTc5GZlmW+y5aylNqrn/bPCq
otWRkEtFnSjGh71TLU/UMTh+kVFKiY5PbeOixzFAoGI9I+upUOnAL4TZUeZV2zonxweo43nPWokp
Rcr0qRnEKRLtnYlU6jjRVQXvReSe5y7UHxZZI5EwXcA+O0k7woZnZjaXGUr/IY4ndNEgZJJSkouL
Z+M9P2vtfxsgjKd0ra/EEKBYcfSyoioDm7OyrTH7oiKYnfBCjp1Y7kGCXBC1ghG3xbDahnV7WVFU
e5ojo7XRaBppJrAKzbFVbp9GygOGt+ArpENzOzvlY22Ld9LNb72P7YGRXmeRHM+VoR+tDMNcSQ8+
murKHZ0pkq4ezGB/zNGDI3i3UgCTgNYVM68zJnRlkePfoZxnSddE7RFhQfzmREQyyxo44NSdZ0EO
0NBacOfFTpBuuK0QiUsEfJLEsXE22fGrKkKJYq3KYGOFbwiXNkHetfbautPnzo+O7Rx8gHQWHKuG
JmJcP8Hwg63VARrnQb3jLkrhhq5ZHUY3XGCXiTsncUcAgzESbLqjB2cID4sZMuFWMEcrc4+o86V2
lZcWVf1pYqDwWu+Glv3e8Yd9CTsL32lqa4p/Bx85QyZFAU9TVXQHf3zKdbccp8bn+RzVqePLe1gQ
Ds6COa295cwnYK6xkwESfarBVPCwPUQz8Li5qVCeTSn03zFpCxUh1rIeClisVZ0yoiwQFzdFyPtr
MaPmxjnmLHtIEYrdVVvvUIbtA6nGMf+f2ug3Gc8DO/Ova6Of5zv/uUja/vp7kUQ3pgq35wJHE3gB
DX4okjA+mhEX9+0C24HI0zaY8LsIGOAnCN+jGsI9cX8LyP4hAnog5oFTRbi1BNRF3PXp3ymSAEL8
UiSB6YBuGUYYbg6XCrdV/7lIisG3ozf2+I2DzSQLdDPlDKGlY6iX4R1BS9j10zCNYxIuThSlKDeQ
qSrMoAQitVLk8Yqe86YdXUgkQ19awOHIFt5bw7rl40x9OvKstMM6u4mttXB7oNWAxWwG2KMAIxvR
YT2CFRpLtZ+At/JHNk0mGYOpAOjsRCQEJL2Kp6ar9TPiQsJNa0mWR04ZJHFXCL7r+zpfYXmqw8Jh
QNTBHL20VAOyXcSECH4TM5t4Qb8uqd/CEEwdRHFTie7tzpO6f/OwM785QY+aAQYUTGZdFwj30JKB
8RbVdUUrAq+4WJsyZVVYpHHnHtuSNGnjifkKcqG5icJWP+BI4DmsN9dPK3iqh9kpAkSkBvbuto2F
czbF3ZrocQZKGbEqgPJC6+jBAYa+puvUVId6jNbPjQu+gpc+svTpQoZgdHdzHAhEW3xvlt2RaW/a
B8haOSqrrKPfJjCvNJcagpQv6MzbXMS8WMN8dWEeQV0x3rrGBwgP+LWlH8t9hCzcvRq1ePfiVt3H
kYp2ogZ/hE3ax1Fl+pvYU7256xx8mnetU2qSl3DHmrQsunk4chc8zS2rXPEma+U+2XjGvIME0WMQ
5i2p6gPx2gkZY9YX4jjQUdhTE1W++RoaVn5FWxftYWoXu7ri3ZCAjUZ81cEh2jhjlElWqQ/co/0I
NsWJ0xBho//ZuX7bubbxGv9657p06r/+N25DWH9Vf962tj/9Y9vapu9tTsOGJcGjwI++93aU4dY1
PoMz8VtnR9ERft+2/P/F0NJso0YIrOffANLvvR1GMsaMhiQIcH9oxHP+rW1ra/1/wqW2VA60AYwn
iV1sh79IA4LBFjBtLG7mJl+DCIXa3v87wBMTv//Js3gIG2CmKEwSL8Bn8GP/OOCEr4M1EDdTJ6o6
6xhBlxGPC0sLtFK58AD8dXCuL1HJgC8gCZHWa3GGtygeoHPf1xXQ/IBXF0PInBHqBOD/5zqpaUVS
UmIOidscZ82vlY4P/UwvZDX3MPevw9qd7ejdVmN5IgKmSKNLdAdkQFp7QUa1mIMFHmj8hVogFMBH
8MMJdk1dz9+qwEJtb0MURggWIqdU4O9hOMQJ6E7E7wyAu31hbJRN2+UmtgsPsQ1cgyAKwOe4/gs8
6Qj0QeC9g/RSiYMDZF8RycOczwP22m4Z5GvX0SVbGLbiQxlv1zj97XrXHrsJF7XYfbRtBTZEFD+Z
vN5jL6s7oBIfXHAwzhoGe9oZEHfIQeFsHNI5aKalSAjOo1s2uM4Vjw/Zr0Lv6tj53DntnnV+lcH2
GZOYu3U2Ygs9QKuWp9kOIbvD8ynvHeJxpM7u0ukuKxfvoQOdau84FTh4yiU+x2MYnTT0/TeCu3m8
6gh9C6uX9dGf2tk/sg55pBR4NPwSxnWBYt+o+LnrmJeErY92aiZ+5vaWpzUMi3Qoy+Wo3UAjVDxH
+YTP/NKC8f2oeHm2i4bkahmE6wHsm9vQHLJHlZSIGj2sej4JdKB53NH4oUQQK5kErzK2xHzX9cjh
W+ljCAPNoqF6hVyvL/jqdBYO1Yq4Y+tmCpkeHKq2OoGb5HmE2P9+mmqatnHh3yiuXY12Tu1DTx+M
D1mcW1fdI2hJc+Y016qtrxq00A4e973fBRjgMAtYdfUBo3xkVnrkTsXmcQJF8Fxqy751BGWmkFlo
bPitq+YsgMwui4E+EWfeleGE7E8n89hpIOzDCLGQ71XYf1Fqwn1bcONMsbwMwkFGV59g2eywgYCZ
WPe+xVwFpjMvng40cC/rVjKM+hMJ5uvQOLva0Nwb4XvNy+cWXkrZfQZiSDMT1t4e3SZeRKDfgrD6
VK+hn4N2VKcJQB+4pPUC4QPKsnvFjI7MzPINEC3gZYSyWxblhQ53SJ4cZrK+2ULlZYNo2ECGxCtK
xGAAkxxFgGYM3FKGUu0O7/EhQH4js9VaZtVYqNTXpLpyH3I2L9z7qUaeFITduXQtFvNE9/WAkkgW
6Ikx8ucc4yIiXZS48YjhB+zCeu/i2+4VgnAqg+hxdst7lFGXCP/WbnxpZn3P4+pUu/DKCiivZWkT
d5HoZjAiIp2B36blSG6kI987Sd972Zww6/jc1ewkZnq/GpoBNcm6ur4GvkiHeljOaxQdgKXDouHL
50FGB1QXWTzCfIAIjo7fnFCPLMdhbdvTxLovzVLgIOdtnS0lepHAenI/xP2+UNR5WBdn2P1wJP0T
5Zdut7n7dX/foGNY1Izgp+yX/Z0vFIGzsK5uukG6ua5jqCQaslzT6PoyNZ7BwKQCoUDeHJt+/Ur7
Qd0PgyRPbGV10ln7MI/iQmyRyTh6JXbaYzrRN0BCJZBRdEFIxaFO3cZXrFjTdVGlXRGo1AhMe/EH
7WYRmw666z6hHJvTSqgXN+JDrumEEBOBvVPDgxhSZY+0l1EyFe2einHvIk5Vu91eNdGXpW4e50ic
AMidV1Wfhtm9RH0Hd9WF2mMArqmlOriWB6lCCCwsHCjYkA1LTNLJFFEP/jLTFENoToTHuK69klyK
iU5oY+2zqDDOKg7h67mLe+tXa5sOISbA2Epedb/ecCWO0gT7wGBAQAXhsGgRnZsZUjXw1HbICuZB
2V+AtYDeb8Ge1eaMoaAHnGtIxPWoRrtFYbrKeAsv6QEyb5loTEfIwtap4HrA6h/Hu8qDLdRg8k4y
juLZh7S6pXU+Iux7BohbJRYLlI3rDrTgFzmQPe2bIPHpG4y/rPGQAYv9g8E+5Cnc5j2OLmRAlqCM
nS8FDVeE9wZUk2hsZd3Qo9Nve9l0qaLwg0vqHQGjlTBHvmECCk2FWmTu8/LWWwOatRypN78X7ADG
bn7pPA+mfTWM1xrM2/Gvl+qvkYpNYPbBd0TgMRB02e6m/mOJINYRAQMNOr6Yq8wTpxGK8l8/w8an
/3epg4f00JqBFMFUB4QLGf0F0kCXhOkEcVne1CEEiPC2mqtD1T+MBqLyWKcVdOxY5H/9nPS3KMhf
Pev2vn+IN8y9nHrfc5wrWdpHDHjyErDyGIhjPpQ+ag8IgCKdWPAaFt5RY5RXqsEy46owXUrcqkvb
cf3QOdGlmqC8AxCDCW7oJ8b9KGuIeA5ZY7JSLueo9t/CAnAxrQGeYDW1XT6vUZuz3oFS32uWRu2y
HGfQmZ+6Vkw7f4UbVlXV5xprNQdHzDPswEs2sZCkeo4fZ79e99gPnzGBxj02pXfHl+kLfPwDDqUn
NY67cEPT3AC6JuFOLggqlNq0YD/WmaRDE2KOgAk4kqH2weVt1lZwYwevDJMgXs5Y9N8GhaSD6qvj
6DtQh/wnu4pXn8hTMHVjgpRPiRFrXp2KqWqxiIOjXAVMZJBwS+FmXk0IDhiJXZa8aoJpH5Vorgxa
fjuaXBcrVjDJ5VSC+8AYkU4ABehXAS20Lq79wNIyiA60gzPHSvvIMdohsSBe5kn2iedhst0aTXsH
/nxC5+5jWA7XkTT3Q9+kIyhQDDo46UA7iQ48aFcMOyLGTrQLpl8U1mZoTm/6EGek6IPjOPpfGeZN
QOuCVh34+7L3L5Gp079Zbn+3xrdC/IfVZnyUGO6K1SYu7V154+yG8/Bi9usxOIQXhqMn/eyaJDjR
K2Tov7MZf87XfL/AIs+jSL1hFNn24n54ctpz1krmO9c+C5L24qb9DkMx6Nl5jXYkJ8+3Tnp51TlI
Iv0R/6lvlgtJTtWuuNnwgL95NT8ffL+/GI+gvGReiDYq+CWitRDT+JQKfsPJXe/V4GVfR33464/7
5z3rz8/xi+Kzjs3scI5pe93wtRwP8XL/14//T99DhLuiRczH7U236UM/fqCNDVcH8Wcc3s7dAPRn
DFBz/r5D/b9mE/8DTVnog/+6fc++1v91g8FmX//cvBP84ffm3QVdiBuOooH5x9DP/27eXR8eK8as
w0aJcfeiX3KcBCU3khdISUEKxLr5R/OOG2ugnd967RD3zwDK+G+Bhz+vDyCS7LdRwsAeIXH6/q+K
41TMiHevrXvXQocnskL7jIk7evl9iYAq/efJr1/7d7wTIJeRT6BeQk4CNvnLQkd4R8KWkuYuCIAS
T2DF/TxY51NTQTns3FKiQcBUHzp1t/EyXwbZP0fuCLRdTTY1iMDkcqTyrMcAUFAHtMpbpiqBUAhT
xYwfjOr7tGEcoy43P5Wr+rHHE6ZuX991BDs/jVpAx4M7ZAzId+rBCoRXx84DiIkYTnLagq7exjnB
g5TtDpDkzvWDKZtXwEoK/Xwf+a8Oi66xP2N8DfU+cL/ucNQGj1BtHpzG3jhOcDNVqJuIgT+B6OcR
MPiNKZoSk+Loc1GiHCal1pnLUe/PeroHU75DMvU1ZuNXt4zey2Z5G1cMGJJz1GbIaN0h9X8OwUvv
IEEfwrgY9wqTF1JvHJ+7sDxU27yDmvMz/PtPreESnBbpEVNaYMh1ts8ccGxJ7XcYBjit7xQ1O6YO
iVufAS9baqRFgJIMoXyfI/o8qvLa2WZO0O0/RMO8x8zIAyB1B84zgj7G99AtI6sHAjJ4dJa+TpsJ
J2AUv8dTkxPIyPMAIlLNvkywIDIMmcE4JCX2Mpq/sQUzYEkYXB2NM5i0ML6HLkxptNy4BrjQovzE
cFrtJK3vAPeLHUrF/dr417IESDZRfx9rfLbcSI7SC4Oo+iF+x6BJ7JnyATzUknmreqlCTE0pAXon
3lQ/KjMfaSA1ulzymWBcblKa5aWuqgAxrPXWtRjnorjQYNLHL5h19cU1NQJ8lh4Agx6jwKepNGYP
QuC+AUBqkSi+RB4K/LBuP6+i/8AjBd4p7J5CLUXmD5E8mNnbRxhz4UJPhQEI5BxLDFWBb0CVghj9
2IquHHcrc8C5BSEEIkqsrFBRu5DdD4gttBmJzI4ys7l9oz1B+EKJtFDMrKGocrwvhsTHKsD4m7Ub
0SPKXr/IwNs8SUClAKaqIMhmiwFcUqDf7v0Dhb0/EeAQbPhYhNUDlc5XQM8SHKm677Aa4UJjKk2p
JsQ+TNYZiSq/CeCnG31hY91lDizpoJIwANEgbdN0zVsoIpXbssdMM1KkqrcHBg+B++rSQ5fQkzoY
M31AhBHKUyxSLQiiMN1VhrhkvVaiOQvOteMc1xr4AMcgnXy1C0APXX0JDZwOYQRmy830AaGrve2m
r3ItTWpneLJh/8GMefMUHbk/In2Dwi+MPlpB3tdgActWI3Gx1O+1/6gNjIh5PvVdmdTOiNkyEJTQ
sQB+8KeEI2ppPP+gXW83Ug4SYe313otQ2hIKPqPU/nvrQwvCbIqscGC8+Kbfz7S9XTrzNnYoQarF
fwFvza69g5Df0zYEs8QsmuLQQWGq/24b/TkAvO2iOC78EEOQMASa0I1i//E4V0p5frGEy53B9KzE
3xcn+9hdQdMlzsf2FcjkEV5oUpz7VMyZ2HvHHw64fyIG4Bj7sf/5/eljuGABlOXt3k0/Pz30NBSr
4bze6ehjXxxjMoECfXf+D3vn1Rw3kmbRXwQFkPCPi0L5YpFFUnQvCDoh4b399XsgrabVZnqj37sj
OqJnJNpCZX7m3nOL7P/ps/7q64AVQrUEFI2ksD90cm4L/j7Ca3OjRSd87sxSP91wDyD5//k6v7/9
fvw6+X1yB2pgE+gdf//zVJVRmp1GeWeZx9q6LvWC5/fx739nxl+9Zr/+MH/4Ip1U1UYkyy9t0zyg
sVz3O/XD8RHaQqjjGfNu6zUKn43YfT07fuqd+6to89Csg/UlPgzeDoTrqfX5i36x4d/1w99/f2L5
Zf7SXn5/URfWN9RIHV/mHymPKX5hpKGqdoMM6hxcKLOvtMfwgMVWWaF+9A7P2nZcnavNsDPNVXaU
nn6h2N4M3v/1Hv8WkirPxH8vJP8nLaP88y+qSD7qZxUJm429B30I2ksH6QCTh58rIIJaFkQn//xg
fnAm/FwBsRzC2KKrLLsZV1g21f/PFZDzZdkNUTVQjv2oPf8Bm41ct989RHDjHfo10AsYyfk+6d5+
/04Ka3uIY91JrxWteg4jlsZzl75pk7lPNSwQMQ1yU3drm3212gPtxaDgTtV5cFiXBENW7bOoykCh
KShhO7Fh8LZRC/1uiHqxdmzEcX1Iq9cGvqUUuGO19iFy0MWkWnqSZpWueqXepUnzmllIzth0fwSY
ElalwpY4NMfj6PQfSadVq2VH4qu6vramHnDWhI5a7RT2F5k5+vjH2pXdwZAEzGhhNcinTV6gfZ64
UEWYHrvRZPgStk86NAAfY99HoVoHCt8SyX0OTKpvEuRiODwk8ITcdm+oHh+ZIrATcrifpVR419is
tWMrjlZzWAovy8LAswPm4u1msovAq7DWeWIYH2YZXrWIzsugPEp+Jq+YIg4KIWAnccGGYbZOcnEV
aOI+mNIWBn2XeZargwJpemgDiQKgydB3mU41GDjlo2PWCvTVKexCIJhVFN61Ii5f8LM+TAtZrV0Q
2gtrLV2oa3FVv4whpkVwbFk5oKfvzIILEB5/t1DbJPg2CcZNr9CnddFwrUA8WSecdL4w53A9L/y3
sHaVrVJ0tzpoOBNO9xbv7ErDEXssrNd2fMU2vDEAyzWTXmy7Gm1f14TrGgl28eBqMr9LVYxRn1E4
fwyjvJ11FTR+VzK2T2rpOK/Is84BvdVeZWO2G1tRXIs6cK+NLGgOE+xLw4WqP9jWrq2n2FOlGqHm
d6ezHs/IqaIiG7ZQBx6HnDl2lMkrfSw+cSKKnVqELnsOlmbzj2vn33NuaR//5pzLXj+K+i/OOT7q
5zn34zAzmLnQ2H7fTP92zqFwRjtscdSoOgKZX485JhwqcpkfAPtfoUfOF6FRpyPq+aFwtv+JQIdz
9o/HHMgXZuZgYNBTs3VfCpdf5lNFac6JOQUgKFP9PimaO9HgVzOaSzIiLB56Qx5CFQGlZuziaYr9
LEmCDYutYdWOHTuoqqw8e0KDiZf+VjWQKMoSwwCmNRqRWbu0agUxx+Vz5XYh12lcans3rAVkv/Su
timlGco6nlaMV0qlFmhoY+S+c6+slNEMfLu143XaCwUl9VCd6bLubdRGV3Y/56dYAAgrLEb5YcBb
TKT21mhYJjh9Mawsyep1rvN7mTuYC5Ss9NS62VeluQmcNkRPiOHeNrJPsCwPIC0Uj/J9V+jKnTKz
AAuq5mpe3OuzGb6BrMKhZnZA8EG65fU+1k5aqH/08rXWV1hudkWBJHnokSGhRYr5jSSsANMx8cXc
lOtyil+HmWN+bKEjtsNBa6H8uSo/UN0He5wnN8ifUNLka2U+da12GA3nxYytfaHGrGImek/XNk91
yF4kY4uGS41ia9SuEwtQZ6h2ayQNvCS63YBhC5u9XRuqB6jiVoSDcXEV+T6K/NLkDj71lNlxpElt
I6qCQbPda9isuMrKoGjXaVKzpU0GzatV5yQiuZ+6yIAfKv3YyW/HpOHImTttXelYVJxmAgTqgjyx
2LKvw6rt78JWpWTX3MdQKWIPIO62UuMDYNJ7w51fNSXMt9mUeC3HXtxL1y+ETLwS1IVXGuVuUHux
strqoGv8LHNdbV09i1dJoOXMLNmi39GT8YVrAIxJcT0b9Xu08D5Fr9zwgL+6BTv9GsX2QSbaE6aj
q3qhhSpofv1o0D/Hofvs7WnaMIVhZ984wQ56xlvGWxRhvKCaJU1lEwElNUWIj9RRD30cP5dgS+eF
X2oWclsANK2mCZsOC8ZNu9BOiwTMHwkJ5zaeefv09zIM3ippYy/V4ZXESnYXzDpNs+geK3CqSQWa
2gGwSloJK0W4/xgq870Vml9rqcoDwnjLSwC08jmHU8VInT62KNZtaDHYWVAVfQ1zRHOXF2/Up5Vq
BZYPDO+xYa+26mdCHZqGDWsjuhEUJdJbOQGNTJsUWf3YFE+hurBlpaxvYstEIg14dlwItE6XPTgL
Ei9sJXQAIHmNKGCKLuC8YEHoNQtMr5jA6iGfkF7xHbUnur26wPcqR+7t7zi+BcxXWfoEC5V3qYPD
HaXy7BVw/IwWzyRcv7hAeBXHWBbLVNF4p4H/g2TBAGBBArps3ltDg0XCfyB3vYlD18Mr9lWDJmjW
3aGALuga9V2/4AbnJttKJQAtipLOy2ES9rAJo8LMvXSSN5nRXZIQJPRCMYRm2AQAE5IFcJhBOoQ2
dEAmsJua5n7Z9HjVAkVEoa9jSRxPCbxEewEnZhPCA1GPV0GtX5IcdcWIeMAW5UEs2MUJ/qIBhzGC
xwjS6QyB6oaADGq0vnkLAhMyLgzHVFJdGBU2U3AbLyxz8SAsyMdWAMCWBo68sliW0iOL34Uxri+4
8ciwcn2LCFSsZQEsx4wK//vN9e8Vzjj5b67wq8/6/fPjz1f48lG/XuGmQFv2W9Pxn1ZF+4Kb3gKq
5dqahR3ptzsciRuXOlhCV8OOxLD4t1bF+sLtjf6WTobA0X/oRMIK9cc7HAaiJcBHo4GDj/rHIYau
iAGySZJca6rR1ge3jeCNRn1mKI8IjuxhnVl1NsFCiauLZid+hzCMPc1u3O/VACtRzpCAlWPcOg8Q
XEBcRf09I/76qI5pIZ+CMB49qwXEDqBTrCBHXE8Jw0EzxllUCpPbZMhui2S6HpW0xyMtXlGpmyuz
To6lOt+A9mDdGdQPeE234IZnHLX0AurwYZX2LSMKPoE+l7twxIXXOcWOS/yCFPdbX9RincUZOFlN
tdbl0CbMnLMbxdBxQqgTohauQEjzF8bprEIX7HGI7heEi7PrraUVSQgkscSzQY6ONxTkmvQx3sSi
qPq1i2JlB80LiRRaLw72wFpnlXzqOJv93CwTzE+cJ3OpcsQiT/E6RVcoiaxW7mQTUBWB+rd1T2B7
RCelpDtiYRaPb2xuG01Lj2oFXZ8CZny0+jr0CjubvWaMzGsaPbEKtUg7k8FyqEZD3Mi8gDXUTKgS
KvarNaKQjSzAqnh9xpcWsfMYQCLakS40+5OsGa72GifEmNAUxMQ4XEi+0Y9OWRuYGN0Jc36DbSg6
GLZiUXElBFtsxJBAYbQT7U2rdMMnEMGzqxhPI+dnFzix3yak5OTUOkY4b1Qzuxixi13hu32DMIfP
tOD2apJToaqhn9n0GW3CcNI0r2iKrhr0WZ7MIt8s09tRQuUW9bNQklM8cCdXIrvXQ8IuWum8G2V1
w3rgjG6ZBlW2dnJjxlMk1rre6/E5M2U8X2mmSjZXMqyTMrZWukGllExy32VIt8cAIxnGcGedzeH7
PDJZDjivvdLFWVdgGfNMN5crozbfTZwJHgV1shpF2/i6HNed1i75Ml/Dpemd2tz0o76PV1zphFQg
bmtxAfmOahY7JWSZozrheoz4mzGfV2ru2gZLDL1muVtMN4H5RZIO4vDeV0f1bJsD+3WYyh4Iz+ag
qu3RYvS3as1UrKO0UeBeiBdr1HAATcUdzIqICm9wV0He2JhaEIFGSNeW/DyKM/szC8IPcNYpt3i6
gjzNlanEN3AHB54BsdbUzl7hDwIuhgyajI/B3Tg8+sAlQj9XyVzzAxM0r6eExTwgBrCL5JA3bXH/
7/2h4l3g37+7PwDfvvaf9Wvz5ytk+cBfr5Al6pLQAH1JDqBB/M8Von5xGVKyRkS/jIODi+e3aZep
8kEqcEnYmL+bdmHuWHynC1uF7sNgP/sPpl0Ifv50hZDWw1VEWAKUQu6y37eBeejg+uud4lpV03BX
YvKUIcOWGnFThzZuNXSiOY0d6jNdnSlExu4mjwlc0fPsrTYEcjOF4IxJmmtXr6dVOFi6FxsS4a3k
QIqVQfiydZbzxpp9ZRizmyp0H6UJEwYXiL4a1fkI4exUm8bOKRAMQmXfVlP5GDhhsZor52quJ+Yk
RYLvIW0PYRazUzTMw+ygRAkN+4oL8mtolgAMIufiDlxzOcLTVq1fhWnkgKTChz4zS28AOApizybo
pZ+vrNx+HANIbIiknty0eLTG/ugm2mmwoRyY2VXroDMDuvU1rxH1KRrwxGA42rNxm+fxRguVZ0FM
S1iFGzpdm5FgeSrt4glfzlmXWexJc9yyUuV2sozXNqV+zEc01ordriNrlh75kilBOaMFXbCa1o6T
c0f1/QQ/M7tG/gX5LdR3xSI6o3U5DylndYjucktA2ia2KjoyTi4z0fKVIuYbPbDeRVveJ920GRxc
cXqY34yGBfE+20eA2IiNa26szv4qqyAELD49WRHTuQX17zMiSFZpHhUbnQgAPxf2tq3nSz3m9kaT
6WHUoOQvy1ynFV8tWWuAx0Swsgr3Ou5tcU4De4cq9646G3Jv0Qarg3O0JiLygARtIrtn2FYB2Wrn
eN3qbQ90y3mSFtbUrsqFlxbRltFq7iVZ8Q7uovDjlgGXqLRN6kDdWNZ97bSLSEJgxhi/1bX+aZvi
E/t0uAsr47zgx4hWQhSt9tmalAnjQTcTSIsTGml7kWHm1SEzrX1qajD95KZ2QnoocI/raRzFSoTW
tHW+j+Jys2vXQ69conL4cOdkqFfcI/FKpSGdKxKFbFpUQ6nEio3LzrWWRggFLZg+2/GxN+zE0uey
zHwFRHhP6JvPwnmtLsGgPLo8R+5jwVW3kkvHjE+3IjUnHNfslSceBAis2tJjtylzE91Mb90eoLII
dHglEtSJdQr6RqO6oVdPQ5QEtk14m8NsZaMvPT0phupGWfp8FaLZcaL1DxgB6MssoGUo4CzTgRG8
5L5s+FlkO7AamWntDJrRUJ2vyYIAwLlMGkgTvQkYPciMFWO5TCMsxhJpbr20jCma4hIZBhkdTDBg
vgT70SrOY0BMYc+UwxXFh9GktNnMP4gZKtc2ASW+MiqJXy5jksFchkOVGfpyVrZ0sfH8Ipa5Sk04
yb5h1hIV1bSqAh6DPgtep2UgI6bqKlhGNDmzmpFdcK6R3DExxVHC5DPpeMuIvODZZtLTuMzhl9EP
oQQE5qXpPZjab+4yHwpHnjt9GRkVebg28AogHaAf7cMqPyliNK80hk1KlFXnsYdDApg1XtvuHPjj
Mp3qguC7NnopnXuE7onDZc00K3WjO1nzNJtGyG47jSXpgbziwCBBKk/zpQhKi+hYnb46IyaqZGym
VzUGDr4S69sq8JRlukZ+abDpJ2I3iqo1duD18dDLQwI7lWF1dckM/ZgyrlMD9T5YukFN9Idg6Q8x
Y1FRNAWyWeIjtfopcc1mWFu4NuJV08XHrqMIXrW9ngkGHQGyhThqyD0MpXH6tyb4XhNofzsWRhX+
WUev6Z9LguXjfpYEWDcBrXHBo1cSNlKl30oCzSLclFgiB1/QcrvzUT9LAv2Loes4NBnauoiwrF+6
SkGmtmM6yKvQ8yLn/Ud8i79QyeumgfaWEkhYfEJwGb+bDKNIJydZqaarUS85WCANoRUqbcRI39QZ
2TBuHmZ4DDX1SLXnXWElS45cMMY8a5aR3AZCDr7DbbmrwV1Pnm6J91BtmlXhBiw5kju6q+yGThKU
0WyJDfbWkIGsCnzFsr7Jkn4kyYjt1HLQCLLr9LXdcFJTm4O6zDTzNHdNtlfytK08pA05+nQL7Uoc
h/WZnk3HcO6eCIpIjkRK5D52w2lTm26J4ZQ2J0VVtELEhPMUysHZ6KdDYkYnp2iDYxalCegrlw01
5wa8JGEBd2BMvhldW/p6y11R6WOy0pLve7I02mDhRORiKM+4HK9La8wPtuzuNUuqfpAZtHaRVZLR
NynnOrbeh5yUvKqwtS3Bpd/mOH6xh4g4E6PXsv0Q2MGpNOLpKxSIwAfOfhU2erHvZPzZQuF9FkwI
L3PaFpveSsn3a1KKg2kJTSUn2j2S66KtrUFVDnS96skkOHsbIXBic9VZp9q2Lw53xh1ajv0gp3tw
+7lXGDmYKgeIl8X5giiLggmyIMgfoK+gpzTPUBkJjwDwTppkKWdPtTSf+xLeZ6DqybENJq3dAl6Y
ZMrUtrbqa8lr18MEia4mCLcIs0ItCCtyflR6HceFsVQ6boUhngba3JftJO4V0aUQi/pkPtR97l5H
5L9UXjE7aF0YB+rBtRsUwJCixP3Wa25yEoXra2E23xl9rY3+v6fXj46G6v+/L7U2gA3y4s9nl8pH
/efsYtmO2dJBtvlH/yb7LpdJlKAlwUT53aT58+yyv/C/CTXgrFmAlb9utcwvS5fDYssW6Cr/4dll
2/RMvyhAWN67cJ1cFmu2ZtJb6ZySv261koz39NgG9jkYm0PYVn1+1Q5gFVdx1pfl8nbs5q0zcBhl
MgvHh8JdoswLNwd9gU3uedSbO7DUky8b3AdD220Ju/WRayFgU/HGFVpqeYUbv9E/Rmi/zGiNXRoF
PsRY6EQtcjrlGT/ILSyex6EDCXhpgeHc8W7YuQNJnHYAkgH3Y0hy6DkhUnTwqr6C+6KEz1PZypsg
kJF1I9PJvjFzh3PNGFggIPfnfe+bQabm9xZs9E1Qu8xUGsyXLWbmRkYPnZE1cOeT4TERroQ8lBQ7
okPjaSfU+gqI9mHozFsTAzgwifxBndP7zgCnUcjyXSzdlCW7N4jNEed7TCqR/iYXmHCtGGerEzRI
40MnI/B+bEGUXvGVjCCfcGkiDO4JDIYcFE1uG2vNkI/UrA5ywoSyzrxLnOE6RvnvT0r0gY/3PuuM
T9XAd9Zk/FJMp73YOjYDsP7VbuDzeyIsk5dJh36cDNFOnZHyVYsiM0ud+yrVxKbIk5xCsFU8yGw7
iQ4h7/vaz4Zor0udVPgM4BEYaSZvapKvBTGWxP9M0ADFQqXLVixlaLEMsWN+qdGnYLp0p1HsGa9x
ZHXqh8oR43DTAIE3Awr0Zpvl7msoi6Pl2sdGd5dYDrAq+uze2QF0EeJJNmOgfJjuvEnVkQOyPIc1
ABrASn5Zz9Yuy5c05aD81hYI+KyIsVynZO+DdHFITPkTj3SLh6+3d5YB7ojH60KH0Hq45c6tGSuk
vwU3UO0vZshmJpTabVAqlKTkYuFwrc0VqKRmxfMG7LB46mJRE4DZHlpewbbpNmYlo+1o0pdbalWs
59zYZz3D28p81Jr2zPj4HphdsorU5iEL5e0Cuab077ZaaCl7blSuVlnfTnZwDxnmMlcdbxGN4MsJ
8DrDK+wyWh3cdMG8m9JAIRFcea8rRXI/MlSdTProWXPh+HWkf4dms8WCbfjQ2OZDUdrXMXTTTeGY
w6rscn2FJ6+FZDSc6HE/0jQ6RJ2DuqWJrqy4JDgcP9hUQIRRXTjNExeMxhvAN7T4tVbLYTO57bVb
G0+9ItUVb/Xei6fMWslO/5ZNCzmzLKD1laA77d3Mb8az7SX+IMek1ib9VzHM+U4xeDqxbA5Ep0ef
6SRmIq7sJ3Mw7wRS131fJIiTa7F3OH59+BMn2UOWsljyrNTMMDZDFV9HoYXUJ7nN0v7MGFRBG8y1
OsTJOspchqF5tbFSlCpDOSBgrsfJq3LrftCgwKq1+i0Qxouqp++Ua/tq0EnrCtsFGSk+jUZ5+A4S
zbLsIRtasRZudzdNuEMjK3suJuNoKsUEeRFIf2McbGO0LnrslDZZDipkSlm96QMmTmEiDlnW0J1Z
XVnK2K7nhIzEfn6rdfFcYVHbuWqObty1b+auz32HUa5v1JChmHrlnovfk01Ws1ft9g7QKOiYUk13
5LdMRBclMWet/lJaxl2bwZwfIE1voDwMPkiLGENQmbPYVM89/fca8e9nP08uc3jrKo5F7/dBYQOz
zV2EUQaoy65yvYwgW5QGwzsK7GylNSiD1GAwz9HI8BXg+IgyXlCviep2yIkhmyDDrjV450mUQwhx
YJyG+uRHjJ6Z7cryipH2fsqClyzHq5QpRrYWNtZaYlLSVVnH75adk6UYxPPazDGIGvq0s/K62hel
sUkY0fjSttKN4xDfyHk4b/O4eqkdc5PXCvCeYFsQvHeRCokSZhFhmW8G1UNpDjZUYQdjocO4WLko
N3al7YkrOMV2xFwpi50taZfoC4DRQR2epgPl8GJ6jDeybPWDKHVGQHTU62QM853M8/nrPGS8NsOk
bEwmaJ5CRB8QYYo7s+33YO4RaWvOTJ49pPXUPQTufFSimak3VIxNkDD1yQIfWtydo9jWCUYJzWnH
vKrrp5uyk/e5QJ+egDvZsLqPvE4qNaDX9t2qMH1icnO2o4PPYdLCdsU6GctTKm/aCFtGMKt+UkT9
tizno94GJwQJflKhJq2bZK3HleoLkkYJjKjPcEneHUaMaROwPLVdiJDkcKHmMNn+OtM6sELUyXOF
DUEdHhBhvRaJcpPW0V2C+gCzIGujuNYsrzbKz3S2v4VgiCHbGg3pcAafEvSYP6Tqc0k8h9d3OC3d
jvGXpvb+UNUBxt3kmDuZuovHOHyoZIqIIHi2BHZEwVuX9I9vVOnPpq6gkGvP5XfRfJu9B3Aq1gRP
JACT04eucLCEYPTzhKJcZrVUfSWNrrTSDBAdJMeULf/K4E41lZ4DTNM+R6cBzRScHMK7txgQD2DQ
CGdOFODS+WM21ecxF8vKi7CVmlwMXtBD1WhHM80+lNL5NozwaSx0EYTZ7IIm/sQjsmm6ot02cGib
kj8dCuUBPDcpOscMk1/d2UyDkle3i9+g66/KXlHxgNp7aHvLU+OEK3C/h7kZyF9MeHmgqnoxAa7j
zPMcBYJwS2F86ogccT/ad1Ec8pc5wOnVTlGdLi0EtTtz7mhL5fZCBbaPxmJTUelgbbAOswn+pSPI
2qocL3CHR03nk0MOJbUlPiZkz271rH03mBuHdpCvSiYzqg3bliJG07nw3DzcmlLL4EboZwwIX+th
QFTSoI9T2DeVtIMT+ZuggarbTqkHMnZNDfNItgXZRbqkiNeWNmSEvpUMc1AxbuAMkuA6LzihmmDR
ngxzUi/6taTuBOsQrZVcX6qHem/r8jBM8TepmfDAB+d60uJtMW8bFwmQs62n3NdgXyvJvUx7nEEG
kUW4pbZxvAB0bAoZfX7TnWFjDeGbY0UnQ3Q1JYcqebGqV5QpS47GQOJDqfb1kbfPfbisaklhfNBK
m2FeQQBBvXZ2epjuBHDDvk38wNHLS/59+UvCvMU4zTA15VHiPYf/QDh1fWCDOmSk1w6902+AICnT
hYi4l1w1I8U36LaYNtOc+o6bHArEOd6YkGmjKsQbgLH26kLZKHZc+nmiDJuITtfIks4P+uIJfNi8
zp2+YucYakRSxMRz5XeDYY2bRgcvF9ePhMaZsMY0ftKohf3r7qVtvJb5eDNGEJGlXQI+iECUU3c1
qyTBBG4OveYpAOW4TliXsoXrvYYrjddvee2ozTt3ohOWp6pGYZqWhj+29rlvo2u3s084rl0PrPer
Boa4cY2TNk9UN0X5xt0C0jJNV0nufG2iyDi0nfoJhjvfzrHKfL53dkbf3bDBkBR55GfRSnjUNYNv
BflHPWQ73ZKA4lU23FVjnYyKgKukXwMq6ldmVgw7zt2TO+CmmUwuO4CJuw6rLPcbXxCF1SoxIHw3
Gu6eBo4lYMltKah2XS15SapoZcjrpEw4AaC/j/rerBGSuE5/Vpq8Imi4vc7M+AM4J3MLjZXNhEcy
VM/Yijdp3p8NcW0RuEvoh1/XSnjo1eKR0KR9K6Pn1m6/li7u4nhW10RXjJZ9h3mGvWJ2nirxEpXa
zm1gCOhZuJ8ne97HXfrCN/hVLgGdNrXgWrZldORUeDGyon/MZuAkRRUfR2Jd/KYnimrKZpjwE7MT
S3sqe3La4+QyDPlrUjqsgZqWJ8F9Ts2CAAv5mJGc5v3b0P9o6JnN/feGHs5/17z+RUPPR/1s6IUG
QAn/jW5Q0eDepNf/z34SthLGElIkkIcauDt/G0a6XwwNuQncANektl3cJr+p8RftPMMBIlR+IOb+
wX5S2H9q6G2IaA5ObZdvgSHn8ue/yFTHIQjJFQqM62Qu7Wk/W0Wmv/WS8uGazBo9y4DnKgK/1sI9
7OTdZIQG2bUGB5PoVDjZVuQRIZiswZVDaDG50dWBstMZdWi3ffGqTXO4AmD5OlcNtZ9OxmTdEOuQ
0VFUQXwTVwS1hLD3ywxfX+8QFuNMMwxOF0ovQvwAYEbSexAnuB7qNvWl1R67vHQ9coIfe826RHq+
tdIMqNPo5/28jSo8Bb2awW+JiwtOsIfCKvbsY0wvSjESilaBbUt8DXTO+dWN64tlIXDpwMBxTIkb
obbpVWfMxYaEqJyaCVNb1FTfgMu8gtJuV5lir9vpkx0iHbcJX0TRQz/N8qtRGI9lHqJfZLmJ2oZI
Pha9JbB09CZ6wd53dmhrtX48kp8Rr0U9f3ZOsOmK/qi5w1azOcFLQCR6s67JkIOWirwBUfuq7vXP
FlRkwrACBYMH+fiUg5KcTYa2xMJjZrVBz4CbhFSFHzQtdxkgyrGI71PAlESTX8paPUqAlUEWLREf
2aXnJe0WpqU6RnW+beHZbRyrPGhm9pY3EvEQ81K1d0/EjOUrg0LJOrA7ry/aCE/3BYxFKNYMUMP8
AgdnKrfZwo3Hvas+TXPsUnf3yTuYLuCr1ASR6N7dRm5s4YarweGPo274ZEPXwAEZ6Tn6cddO8mzk
pBGwyCaxoZXfBujtS1j0M2Kv+3YeL1qvvRBGeeAueI76GMac2TDADo2PSIyHQQ2nl1RWCfd3Sfwj
0eJOj6bHVBFGmvWFDKadDY7+1NnV/RTxY5Vpx3g3dK4ZaJFwIWeEhlgiZQugNLFcpuKTuqO+1eLC
IFGsfehb4qSy0hB+SrxZwiB7ayoRaYXcW6VmYg/pqS8K+R5SegObmkDuD0iv44kwd6V5joZiV/C2
WeUOLR+dI3bhZkZ/iilEw+88DkaACle5mQLliUXAwSp1DY5p/NUMZEg4nLAZcaD+JG1SOFhZ7MRG
11scuPYIxCa6rqtQuUgr+dZIRsGZ8do3AHRTlKfJFJ8doR5LXZIZULjHnJw9T6ANYnoMQ3YxG8dt
P2yrkQylFpIf05L0Fc7C82wX6yzFjtuEzzoMxrtZsdi2SwcOjzC/2oq8GxGTq+7wVEkj2pfS3c9j
dcTKXB6DonmyYPUy3rxTLGsvdedawU8qVeuzNOZzltW7pODZnK1p9kst7yg6wtu+h3VLslfYRds6
li5dGNQa3j3WS9M3eyni7jZwCLcBibWBJ320Whqdf6+271eb+bebtvs6yqN2+vPdtnzYf+428cXA
YaoBA0DbAvfil7tN/2IJXIILOfUX/8VCJFjEnAgeeKrIV+Gm/HmxuV/4/yEZ/Hbn/YOLjUvsj5Nq
Km4XoKEgQRK6oclX+vViI2BztKqqyW5yrTSMK+TaAcucLlKhGenTQGD6OPa9g8eqfK/67GUuZrll
XHBnKEvfZL9NPTbssgt3Ncq3Cl8eY0KiFzvDPgMIq1YKlRqZRaPhBYXb+yRSyI0oLYJeS1goKKZX
fS8hegfFdQPJRrEYwJru8GGUClFsBTWgC/SZBvY4GnPq6W58tXRTtVqYfiF1aFCt1fttwJ+xFPoA
247+vqvfegr6OUumLYzaN2XUNnJoNY+App1tt+d8TqjdExl4ZjU8D47yNW0nkDaJdqeb7VPIIhu1
s+Js0eVY1yEqeSbRbstoKqnX2hS+2vbMBWSSrsNVdYGvfl1Qb7NAF3cYY5dhRXQZhXrIVPPTaLOt
Xg+vjREdDfBmq5ppKdy8IxGY/G13l6n1U6dH+2LsLDqZ8KlorKdluj8UDC3198Z132vRXNdz9GgW
43tiOJkP7Xb2HdO6UfhmwZAMu4ximINJyUne68LNlER3TaSfu1I5z3oVrGKVaPtJQFc3KyfDREIm
nqkxCx5U40Yxh/TIbR96SJ8g4Y7aMZZWuI2VztpUYXolq47avBm/Wo2Cl7WCU2i3UH5Qw6hudl1O
hruaksrZ12UutlM7bB2qbuYcBJiUU+oALZC1H6sUKFYfjGuzw/KgpfypPYldTf0RODbA1O7GUrtr
tcjRhChuta3/l70z2Yocybbor7wfUC31Mk1d3oPjTg8x0QIC1Pe9vv5tIyszCCIyYuV705zUoEjC
kLtkunbvOfugnhqxNsEHT3a6BddibOnzmsOM9UOt0VeANKx1xd/woPneQJEAjfgi5KuQfpfnWKmv
7N46EY21C2JCaWw93phxcZuha3C1Eb3PbN+26LnULLhrsMVjGVVIPEJNanU2xVYFslB08wPttJKU
knLvO+W90nXNMm2GW8VtS9qsQO/nVKlWRp9cT4o+rXCL8qrSiresUTIvKsoDeR/HxISZ0NLhX4gC
AvrYD6tRjMXRGTBWKnEtcCVEuucn7paxT7dI0GY9tX4ZL9Wm9OkDoN80kvi+S5ZOGt0arZZyB0ZU
WlqF8KfvPIQi7QaBZc5RtS63o4ZEyijUM5mTaubKvCSa01jCI7pEyBSupryal46eXUSyoTMpI80U
g6J0DGYZ2/eUjLIhZqjXprFXprdErTjDBTXkyWZlTGO8DENnJcziDvLKGw50wl4c862e1Ue3cc/V
Ib0op+laR22wsBolxCYaYrDIqquQQ0MK7wrDP1zKeW92dDmZoqrMX5AAi8b0ajG96U39BYD42VC0
l2mpHNo+xh+Tt8sZK4Xh9iPIOjoayFFRkHeJuujcsGd01L7hVWXOPiL9S0fnCUTaF4ctGmUK7Hu9
GCsEbcLmkI24pyGb3ktj84FdFwn0hLunT+2XliMB1QaNVTbks0apCaRoum4dzv2+9SkHAExc2eH4
RKwRiVpmQm+vIoWxDFrNa8xqa2f2kmkHvfxwvG6tCixHnK9SuKb00pAb57lV89AVPBLCPtA3jFfF
6F8UKRWZ2fmj5wCmRxF8LEr3Guzl1hjhs9o55oxuShm7MNoJtGodtCJ9qAdKMx++hIK7mWmMfLCt
+N6xjZYacyAh2B1ML9DD5zEviNUyo3U/5Hs29KvJLPptpWZYcPXusjR7fRFR3/VMYDf4OyX43sCE
BZbDFzibfNv0kio9B8J5GaFupBcJNRtiHunNtbbKg5Tf7ftrywZTN+fdM6YgGRBSk6mQ43Gy40qh
baq84aPmfRHW0YaB/CWBuM+2wbNdpQjizUwoXjoGjNT8Ob9QSW6g3VM9QMb2PRLikURMyBYNfUAD
BWhxWbBnW2WuruNIbdfMKZ87l8QgJGYeKqP11AY0nfnKcV1xChqg0qBfV4M15gk+U3KWdwBStm5g
kh8dokQ0CgvRvdnfhhN9At6JqJ8F9biFBc1yLDAxysTtJqSjgQBrGnJ9dF4q87BEg3+YFNgHBFqj
9FKHYaEk9q3VThtSf79ahTQTla8jZGx6R/GDbUPeGWpFMgHzc86zFSru+cCZF5I2GQlwK3acb2pc
1DpNdqEWD1Uap7tmrm4NnQc/zY17ZTKPbdR+Hap07frxLS979SxCdkWPxsUrFRydqLpBS7g1FEpg
J+ypSbsCjLiJSQEbNii6ZlH05KCR9AdTx3FeaJAqy6ymb1oV5byeCnGl+Vm1sqzQpDE55qjcEKjj
k/Z3aj092Qo3Qxv2OlhEcYNuE26Nr+yjIHiqYwcmnoIFLS43RUV0EyOBE3pajUE20kpFs17KeDTX
XRs9miphGnFln9TOvitMe+OX6bidA+MtVgeHPZYMDB0dykqMebi2UR+SG4ZTnFEPt1+stTK73UXX
oz3aRNkAZolWc8kXS3AH2WlMdJcxrlHPVuIn5umHJCKrq6XR7FV9Cd8x5aNua5B5RAF3BpnYnZps
44CBQiSY6qotUVKVThMYs1u6IkPoK3LlcVEJODQ9SHqvyKASFUy3iA2Wu6p9D5lS4wQFMj2rlBuO
ere1y+kuj1yvGNLzrmHeG3SihbVTVEvdDK9bG0ujn7a7LugQCqjurZl3pyBFvmI0La4auuj0snie
DPInxwDTvZ7kO4XKiQcyVgkqa55L/CqjzvucT4tXSLytbIyaZMW9DmVPX9p+s1XyJA0i651MipLd
5M1psnCpp/pLP9VnLm9yOsTWS9M7G2RG9TIPtL2fG/nSnYnVGe3kPsiyxqvGWvdEh8YBQi7uQ1wL
5xQGJnEnpE1oXbwvrRrmZxfHF0AUSRCr+ZlIHgOYU4tsiG+0WpDO0ylXTkYKnp4VO5M2/EjNhSZg
RjhVFvmqghVK3j009iypuBwUvQsx1OaKGMMzURXoQCeZGQnCgOfuzdYdAAkDIcFBYqzVvqPzx6OL
ePgyDUDXcC8cDDtqV7kVk52RlNd2xHcEbsugvBzZp2saFmadr2vb3GuifQHwiVw7au+rEa1R1qm3
M1PhcUpvdFPJlkPDluqoz30/c/OTN8aEzYEAlHbnZVOvc3UUC3Wi2eiW2I1bO351qY3DnmNiOeav
c8aMA/4kaql5p+v5QxTji3Hi27Knv9FQ5RECTp1ZcWeGyMw3BSmhy6pzNkze3+yQks4pxkcjo+bD
POlFBIOCvtr5BOuESf7ki+Q5brujaSJFjlptGRBFSI+ZN6VRbafKwTmjrUZLUiSq4npsYHeb7s61
lCXzvlM7G94UaYiEjZDMxHQV1f15jUiri2BHWJhn901M87cKHD25TPPZfpiKyBYXlULq3GVqteSq
TMKm1VUq+3/PoO9nUJlq8fft1cNr/rV4iX4mmZK/+OEUSjYrw3+dwyg8V370V4fVhAOgywMlqk6O
qN9MhMSZqQwpCc8xbAhF733ZPw+i4j90ZA3ZddU4uv6DQ6hlcwL+IJeiuata0kyCNh3VlIM+6/tD
qJO2gcj0QDlqWIzY/wFzmfOrP+CgTyyUTh1RoICq1/V7OKgalfWVi1TpUndkT5EbniTR4D1U1CXu
fsleWmPckKGj1HUUP6Gf8bqYzE1ccTpsdDFTx1E2NKZrbhhq1zj2BibGbUR0fam461rTH3LSg1+C
Ks28Sh/LdRE6KYjtViq0exyBBf+t4VQme4ZefyEFjSZQkJKJG/bWfsidfRzXqAPQuFthhs29Uzad
jrCJQyEnCtzmqSs9B3q/IszmMAUFvT3HWkHR6i9EDnQsw0W+colHZXpH+2sioxD46ghxAPC4MbnJ
SgSEOep+Xa5mmNF6OzanmInngmy29LEX1nStafeRiTIK991FVAXhEqfoZTxzNqBsOExqzNRuiI5D
VL40EcM/weHEbBG8iN4aVo4YQTMzfdvnSCQXANFGHHCNumqsiuKp9ulXilHFLVwKDF9RqRzZjaeF
hVEaBQ9kAoZYmBUsnM7FeDmL2OFgQirQ2KtUtGG4dRN6zD48zYlD2BytFYU49QJXT8qYKaYFWPtS
z6k7OdGXMAmWjXCQLMUc7pwFajn/Gv1bucEhX6rITtjn8rrvN1lTRHvfVsSBSA4gy63rQ0njl/OD
VnX+JSEij2lo0f7L7acAUs1iQMSKYMx9TDTYDH5bvvHqyjxa4OepHxLZFU/HFDQ274vsLZytJcRc
Qjozc/IyMFgY/QRxlRzdpXp+V/cE1OpWqcFom67DeOJryrKNGfI/bi08bbQ6SDLv7RUiuQb+gPa9
8VL3g24eerk3TqD+tMJIjZNlNZDTaigzarOAl+PpTQLXNk7b87pyVYpPwhSwFNjrurKqM9vEyqkU
Be4PeSQSc7cxQtBtPZkI6qh5HPGaPQ4oY5H2gba2TF+gAMzWSuZ+pfN6bsfZZdF1t75iHJrSAfms
K+UFkrlpp9s4/LDxbWWzYJHhKLxRY9/HNfTaKuNZlMLGNp3zKSzwKMYYqMZpZTON5JqPYsrPrYwG
Uq+cwSI7z0Im+lFn+YdclM2ShDRj3YXBNQ7gYIfQYVfH/Tap+JJE6OxLCYBUSFdb6Il4Cjr0Ga0d
Hce+YCKcAydU2j5D1Yt6wU534M6YItZPWS2QGZDKW4g3YuTZWrJ1PTvrMqk8tW+gf+nqVdkQsFnG
O6c3z9BGIiUjhytsQSQPY3orUvWom92t3auEyRFoaB99bHZYHea3stKurLnbOZ1YMgJa2S2BbGo4
ondKiBHun0Lb2Nh1v2oChh2xJU5Nkl+JQv/qJjzDWSqHFdOVyZl7mVXlYarmtZKYXsl3DNubgSuF
LBBzcAoqwT9+9jJP080g70ctiXd1F57mYjxmIkFKEMjT+pZUQmxELM+7+BIZEdPTyUMqs8t9CaFg
/oHRZe6SrQNPOivjrd2Ma8XinIGI+8UmCChVyq3SuV7CsX4qi2NeqpAC1GKjtTpQ7i446UyXoj7Y
jqpYZoVy3vfTekqjp6qju5SMXsUjomPU9mttCYrV89v0tU5fC7+7YhLOHQnogHl2NKA0rKDBk06J
IpcxNUW3z5DYFNdNa6/NHhdeMF6Zo3uTxgTaMhvnfDKom8ysPZcZxUKGi5GjshZu9jaB5GWHW08U
fg26MFswLQmacGdo03ac6wdVa9F4iGvbLh9E2FwF/XTZZV/zqXytVJXAi5H2oBGtUcqvmRwsk4BU
aCr4wAgvoYMcit640v3sTVMQR9bgGRgplaq6Vdx+KxplrQKUiRketxbgT/5Sx3cbNFXlylf6s0bt
1jyKF40r1uhK9iT4siDEkpIPbMwbXDZ+DltKf0Gt+8A/ZaLhJFWxMYmqi8mkd8LBm3J6iHnDSEQ5
43i7mxmwFROiS+w/6xDpOz1Vv0IbMCHotJ2N3jIH7/IvLaaeqXR2juOsypC5SdHW21wwpRgJz5wt
F7x/D/9RvS/q+KpQtI0MW478js/OXQUkEDqtxd3pbOCAXOZFelZC7CSB6jqNnK0Y/aNvzLvczPa9
rx2I6RWLvIvWGSHHqPNR9QyLchCXce2eG9r4WNpELdRwt0lAvvVr+7Kpm2PeWFfdGKgLoTXXnew9
UOxDEZUZvul5agX7VFSAgNLgUMuNai4epqQ902sLHVfIkz0g/xq8ZpBFT37ml/ltXU57TS/OFA5T
R6Qs/nMwRSBMUWt4s97uaxUhKM4zlCq8eGKOcPZt3GbOTh84jtPcfKR3vtDNhJZcgGZP+2pnoDLb
6gFQ1g4Z+ZH9NlqpdbLRhubMmtEuE3iVeLOqPYZWU65dI7nJGMYuqjHZJIZ2ihMRrxI8INikjTXZ
P1s/sTmnKdkqmmHfErnjELPsaZO+TFJiDML8NAb2JvbHPXSUr6VCRAvikba2kEEyCoPJBVesd1Zd
F6zqUMGFSYWQtAR6kbC3ZBC07RXxte/xokXqJoAUF6njKi9AhmYNXIVgnAkNz8/ojpzVrXVTwCSF
dVR6OSeJNko89CXKPtdN7vWU5xQhtlbsUqU9zMrwiN30pRMycaLBP56Oh95ENpSpvP4+lLSnP+CJ
H+OSf+BKUiFCs7Adk+hc7MoSI/Vh/t4OdV13Ua4c1WwbkXpeJFdkvf+hz/hbpvIP3Mb3RWxNUw2T
0vadc/FhESR44HRNTTmO4rkeNkP3OBZvgbHMmJ39+nJ+VvAa2reV5F/yYaXCp08x+6yki4vQlNma
2mqed4V9F3dfIobvv17up58eTxN4DPjq2IW+X04XBePztAhOvfKl7c6q4CVPX369xM+uiGqZYpll
jB/SiH3bGVUXLMGJlkA8bLppWqUIaLJgEzFR1duLXy/3kyti3sKhhTkZVg7704mhR06rT2obnaKc
gAGjYri/KZPfXJOcfX3H8VT5tj8s8mk21vhKa9k+i8Q1WcF4Qt1w+f+7DHmZH+6Dvp1bOEqsUJcH
WyogaLA60W8WkWaTX13Gp2+/TCTPOGui06gYCwJZ3OhkRg0b3KNFMktz1GmJ/fPLQtoKXM6yAesa
n9QySUR4IV246ORUl5UaoB7YOf7bP18DD5Bt2tDPMfN8+uhoWCo2ooX4hAYDwMzSyQtvSG9/vcjP
PjrcjqBYDM1AcvFpkQKNvBNFY8z385jb5yEnRZhhGNSu4+7MRFo4+Je/XlHeU5+/rI8rfvqyiB4h
qkib4pM6EmLR3KNv+s1moMk/+tsSklAPPt8kagotk6TUf9p8msIkCnvUslN8Xu/aHS/PQ+FZK+sy
vLK8fBWthaesf31V3y/5fsBn4/72OX5aMkRmNNL5iU+9DcAKF5PusikU21+v8vPPDvQ/I13uPOvT
t2XPmu20BLCc/Mr1dO1M0E399Qry0//20f1xHaYm7zawGAjVPt3YZaPT+2rAnzgcfXH1U21+iUw0
qnH8m2v52Sf2caVPGxwnYiYpjh2fNOs1FJeWf13Nv9nefr4EwgNwqjxJzqdbLdKSXphzkJzy/GgR
CjIyHdY7+zevup89Qtxsf63y6atPaqb7U8AqUfKSogU3lFVtrq2k85L2pCSgQn/zHf1wWTp5jjh2
mDW6Qoou+A4/7Km6y3Q2c4r0BOCBmR/58tV89evb4Icb7dMS9NI+LpH3AR9oWKUn3DkLiIK4N6zf
fGw/X8IQPDUUPPTZvl8iHsdMSTlpnZr0RZl3NoChX1/DD7cy1wASlHAIi8YbeNDvF2DrdAYtn7MT
dV7WWV4Y76KYwtR9fV/nX66byp3+913ZTfqa5z/qguQv/dWR1f6DPAMFK6JSADvf6YJ0ONOCditP
zrs5/6PmFaUrqjUXoIxKS5Yb58+OrEuOCZs6Oh4X+jqP3D/pymr297cgJlbTopzDe68LYZryn/v+
Lp8aRx874R71rCZK09LmclO/6xgNhRQyDieg2L7gUK8vjXfVYyYFkDNKSDt2z+scMlWZJc9JVew5
lOPFbtGkmCaoErJ/Rqn55NA4GtWq691LvJlvdDgiD90hHhB9ozDDDpoIg161UQkgFzmmilLZKlH6
bNU0Wpy4OA/i4TLRaQ3ZbU2oor11VDDDdAMX6G28yC0UgFPThr73hY7tJ9JVfCch2eidOm0nrSdt
XNGe4wxrOYzLXS2ch5Jg9bkeXjABHJD2pNbKR9H56II6aWUeOwC513oS8niGP8WlV4T2rjqip1gT
l5B7eq9t6TKf9TLpfZCZ74mh1Mh2aU4SK8vV5oq6bIr5HpvsQcjk+CEmQ76WafI6PtjQ1DexgX6n
lonzWh04q5gQekEYPfSSflnJfHqNoPqMwHqGaVjdiuMok+yVzLfWmUy3z9V8N0RAN92I9qdG8sRS
Hcx+UWSi2JRhT48ccYRHN5hoiekys5JdA0NogVbw65Qh91IJ2mDa7t+JlLQGI5ie0DFDGNW0t1ZX
9lrf7YZ2Oo9rTou+ixuphz6CtbgbznlvxcvJxJI62u35nKSvmZIPD3yfZ631Zc7sA9WnBwuFyPh4
Dzf0eoDMCeOIgNMlAQ1VCP6EIMxVHsmosTKFAQixpE3c6mIkHGyXNkwUwW2Hm0gI4jqQSLsHTPzh
3kmKfgPOlXHUe0eYMXK5gartXvsJabFeOkm5T1Xgge0txgEluKd0mdJ32GgADFCQkfR97hA0C7jQ
FltIvOrDv9vh+5BK4w3199shsvDnIv3a/rgjyt/7a0eELsKxQer2OTdw3v9uRsVeqFmIFgwpw6eM
+K+tH7GkRFhjA/hrGPXnjvg+vtJ0E2rHnzCAfzKnYr/7VvzJulmXHBJqChQhclz2/X6IUGionMIa
Tp26D2KUyldFs/nwoZz++Mc+tjn+iIf6tghXwbSN4sUFIk2aANf7/SKaUhtxnDTlyRgIUWoW5nvz
PzT0nKQ/6E88/4U9Jpfz+1Q1RHz1wA7BrBVc4OSF1Nn6HuGZ1zCTrcLxPGJGaxuoH+TQtpPT2yk9
+Uxz00LZTUx3Faa8rUo7aGLuO8v5b9Rs/QmVV8hkGPWrtrSYFSslOHpmx+mUPCnMkruy3MXMltGQ
4WGLwmPQNiuhc9CTI2iNWTSGvk0ph9MpOxZuAwbWCtCPRcsMG5VF4pEfeguguDIaj8t7CGx1p8rJ
N8HoQCnz17RxCYNmOF5O2asvp+UiKxl/yQl6xSgdTTqZoczWRc6kjWEHmzOD95EBvCEn8ZqZ3/Ra
sPd1/baWs3qdoX0ip/fhNLw0jPMnOdev4vKQy0m/WznG0pLTf7+or1H+EhZqgqQmZ/mQSa1A2xiX
qC8C3nHdgxIb61nqCnh/Mx/S2zdIu1iOI2SDDjKEHDmCI3UJpVQopFKrYKsj+5nUL4xxx0Gr1BEI
9nTvzXK+15A7GHydiwIBhDUg4sz09GbIaBa6iCQUqZbQh3Lnam18kbaD5oVKsm+UCK64xhhSQ24R
tC9GXKxdRBhRNuieOVbYEtP83pdKDb8SuKwRb9RSxdEi55iRdZTRiOAHoUfnmC9CKj9EHL0JqQUJ
TFQhVeveBJX9ZkaDpyIbAaUy4HWOt6FUlGij8AokJj1SE01qTmoTFgJ5X7s0SrDBI0yJhM0R0yDG
x5SqFVNRXc9CyNK5yi1J1Y2nIHEJjRBdLaKXYGyrZeEEnZf7xio1ibOl2l7Ncnd2RXyto7pLenT5
o9vfJyo2tWiy3+LY/WJpJNeGA8FDoHGgWPlhcsgzlDxBjDaBfeU2mKrr3LRK0NzGMUgdIqMLEsa1
cfzSx0wcy6GCYjbweaDufUxs/4apD6+2OH81NcZrfa3eJkGKOY/J7aiIaNkHLaZt5a1VxKMiJuBk
CXJWA2HtEkKoO68cnEI6sLkp2ZW6jC8azLrytyWfhkuSRXVjBcO8oK7gLnfT5DZRDXdnzXQcEMLd
VJXOO6h8zUBzR0lJtnpRfgW1W7XEdwarrsVCngz4fBAO3ptmu0xtn+mHfSfHpRBBp/g8A5AUKcpV
3cWurDTSKoIIhGmmh42nOCMCXbcsvCZl0IaPmWlHSTSUcWBqm1GLETXhkPrBsylJbBdN4TyEwnql
h1wt2NYqUBAajf7S60PCQ4X5JNPMaZ+Dueseg84EFjYbV3WurYDDXRWasRtIVZ4mZ2krwZ2e2I+N
QMetqYzeAglQP00kRswN2m2oDvCnv+JQRO7iAGNq2mTFxAflITS9poZDirW9LvsLB9NFXSWIw+d5
CRpkQFGGNzUWCoAC5Ti19V0WMS/39YbhAPLzarxXmler407sbWdtmLGTgT8doCK5/kARG3eToqxU
YLV3TtCPm6pC2xQHcJcsUbblRQKtMStM+G8zaO4+D1TUo+xbi6Qwy2mRWbOxaTnBeyKlLhNGdpdU
zZoIgYdhSO+aSnlUs9q4VDtrPvHCq9Z1Wj1VurYLa+Pr6ItjNU8XbupCUM2wblsY3ZdR1dOYiYE9
ZXPm3iCPnA5BFl4jrnuOdXJIhqRLz2rckRSbJDn7OcMrsw0fc51vcQhvoqiIl66h7Lu+eei0YsZb
b2RrXyaRMRFF8hrx7vHchD2ABBfm5V05H5VWKDd2DKdgmtxhFdQgzXnKG3jATbc0Wyfb8jSLZZW2
S9Pu+22vtcMGOzZj/KyYNkPObK1PMaIFLZgKfOfWdkhdbUstewIiedWYoXRkbuJeFqiKD08fid1s
azeU2g8Igq8Dq7Z3rtk9FC6iDdjA/m+6ybIH8emlSzgbMnmbs44DEu37l66ddqUu9Ko7FQJ4mHaM
xY3NX21xWoh/l171Y3uCk56tGRpeR6Qujjx1fWhPNE0xtvrQDCfhr/zkrpqY3N39uor43RLy5x+W
wGeYpkOXDqeSB5NgB9RlX8zy+v+wCGxxtPR4W3TpXvm4SBMmCVrmYTgZ9U1VnI8KuPndr5f48Wvh
o/qwxKcGVQu2INDMcTgxEc4q3By4H4dj7jzF029Wks2O72+A71eSf8mHTyxFs5PZUChPFVINLYfP
ou+7DLfwqs/2M9zsX1/Yj70XTVpu6CqruHsQUX+/HGxxBtKtNnACetBaNL72TRCeTdm/Zw3tj7MG
H9jfnzUOT18BIv/kpMFv/XnSIP0LyRt2J7RrxO9ZfEN/qeFUgsFwGnOcMHRg9/zoG0CMEblLNwSA
sQFZn77fn70XkPq2gSuLXzA0YVjuP+m9mLbsIH67Iem9CJpyHAEIBeQBE/KP+HhDKiptZr3VAsQm
2dqZMDK0jcR9A94ghvOeJCrUoq27nEFzOJLRkWcBCfCdlIq/mpLiMbj09IwB3KGTno0wDxcz1qmc
VvxSw/shY78RsfFyEQBCVEkK8SPXXZlIwbQOu0kruouWWKte6x+xDePsTCh1OelHQfjFdtOl0g/B
XY27GSJxchZkg+85vtSNt1qx7kCZFJJpEmj6I2AoIJ+Sd4KLoFliVkXd0PpvREm+GqkFaUByUkSB
/TMDnVIk4SUcmScI/XeK7By5krLCYHpeJYBXLElg6SAdUDGFE9TT4lmAaQnBtWTE/3IQ4BI7yXJp
Su0EhXYZIxpAvn6Gs6bfxDVhNg0gGCtmyJIb4yKKyCQZJC0mldwYTNs97YzhBWxJQx5aFy2SUKTr
ObSmZarGN+hdTtBDcL+pLeGsMFzPKdOvG4A1WaYRcjPU6zgFAqUAtQmB24TteFYWoeo5Q8iJDgBO
oAHWDQqnXNiSjlN0FhiLqBFLOHDzLcQ0eimF1VHhObEXSMYOQ9147SbjV0Xyd4I+RCOZQ8FvJJ3H
wMCG6cQ4tyW4xxTleoIPezlJqk9IAb9GOgbpJ814CUv6Ty45QIWtIBGjNIicdQEoaFJLeCGBgRK4
DLN1EjCILAEL0ROpdibYH1hDPsSiiqpWcojSIHtp3RDwkWQUpZJWlEpuEZ7YLykgIztgqEnVCuZC
Uo5Au2HMgHukAkCKfK1dySHuXterq8SHauno/biMJTlJdI51oTbQlGp9yrygm1+6WjUgqZAT3En6
Uiw5TJ0kMkWSzTRP4uBkJpy00X6lIKQadLWLfGhzz2i5lQlaGJdBH8EKCrDPaIp9nYOC6iUTKsoa
7iHhpNu2Gamdg4EgXhhSPjApxAj5Ysh8knCCXCxVyZyqgE/5KpbkykzNLY21RzfWn1EGbhxJrNLH
5qBkCqwjRVAcg7WawVtNLjpBZ3BQO+WNa1+q09wiJgfCK6lYFgC6sZ5gZQ/AvcL7ESXrGplbgS26
U9Hej+vJaI0TFrHHIUcrh7SVgKim7RaVNd2hD4H3R2QzGQFgggeIL0VBEm6SFHSxOnQMqUFoDmoa
vyaJQEPmckYfocKtEMZEauQ3c+Efa7vEjeY2y67I36K24qAF6VkXZ70AsdbGZzO+Tz3J9qESHtQY
6UkxxYhF0w56W21eqQUuTI1/d13hHBQGHDsIrjtOcvrKTvjDCalqBvNMVdQ3u3XWDUJStiZk+342
7QtletIROC4qDapYhcGPY11v76O5XYsxGKEVxk7b3udB1RcY5XFDc/yti2tj6Jq7YhyHx9HXYZPY
atPXW4MAgy9BUlj7tinT4JQGaSB2baWYX/wAjvUhRuWyydyENGrXv9dCYvasERcQhNB05ctgDhNn
ymqQYR0D993KkgEe3IWPndltZ7iwEumwDWXYhyNjP4YowGdDEoiY5+OYQz+gapg94htOqR0kt50M
EMnKiO0pQWnakS4S1M5lbePbVgZrPUVNuaW3knpO6VwZbvs1m/q7SoaV8BRvBOkls9tBqiXPxMVG
2iWT5ZWl+qSN7ON4JY8xtEdt0IhoaP1mW6VKxL0mk1JU3ZuIycC0h9wnJ9A42eUS59MY+ZNT9CFG
RTQ7DsyfKImfdRhARTw+jzCBcgD4oBgs5GDgggIJDnIgCKkjqIOCJDYCpEgZgySB8VzpxTGQ8KEe
CpENjYhqbYdLhKManCIto4usSXRRKiFGTjZcZxJrFErAUS1RR7mEHgGNI6VYj1atBCJNkJGMXtW8
bCiGhQ41KYrJKk9r59zHAVxIsFIlEUsYdW+qUIf6DnzJCkCO1TV9D7hMiV2cCjhNoDvw6qj2fSz6
l3gA5YS282yQcKd+bFGLzfdYYhcQZI6TxEDp8KBKCYbq4nIduVLDJsDfgY6CLxVgGyq0RQdXKjci
w7OmHsk14ijLuXbcxFjQkXy1e7deDxJNZYj2LJawqkxiq/JpxElS700JtOoiNEwRjCvagezPcATI
BFgkSnTNKAQ9JVK0iv+PRnsPLCsx+KpVJgi15Gg5ALUyLXiNXXdrAdoqFH7qg97CIPm1BMWV6eEf
3cl/R3my0fz39eQO3+FPqkl+569q0vqPTQSSi39UOAbj52/VpIZNwsVDYQgCl5hIc9z7Vk2aBDfp
ju0Y7x5/fvRnNWmBvKED/N/Ixn88yZPD4o/VJNQP15B/AzkHBi7oT8cb5N+lhvSvvcgSO1wXWIaW
Y5HR3buc9H6GABa5oT/bK5PqMMxXSU/oDcZwXVsVho7qFN9hZOAOF1E1sdEA2UWV3Q1WTeAr+ICO
hkcaGnBZ6LfBWTPTCGiF4se9vlR8t8i/zLXdmSen69w6XzpqidR6tCyk+byMq7h5cmaCHmYk3aRD
QAYb6x7trAblcxM3pYv1XA13wVhj3RwG8xYvopeICFllVyTWwkximr3V0J8hmphQVUb5hZMm3RWc
kOFZzS2r3OF0Dp57sx7XaaNm55GdFDQXC/8iVixz3StxCOtUIzxaDMZESJVOKmJXDIckd4YL1LHt
soaXWgyikRl6ev0kIoZYaQsmzQuB7e1CK25vcMWDVQtz60XMqbvpw3SgJ4uTqpijDRWScSVmldA2
A6Bs2qmjCe6Q+ZzVtlBKiZG9qNU6Xie4SddmqZUAcppMG2iIwxqa+3Zb+SpiOq10taXrhvoXYy7n
UzjPhE8leqc/J3TtzrqqCXYTw7QHA+bLkqM70MOSVtIssu7YdckLH2m+q1xbu9YQhUI9wN18MAeI
kBYZmRcTSJxlMFnRhRU1zcZ103oVz664wDVobbMqp0c04aANGQu+QFNLz63Bb+66rOgIPIhzj6a0
fkDOmUJ4DZsEBqpPo3us7EtatMqaDnJzYuMslwDOijNqf/TRTbLnGDOvJqALa8qa8W0ww3QryizY
j0VEFpEVO8oh8m2YClGTFl4xAVxt284mC1EQ7BUAYQUKMGORqDlTzwhB9mmt2Hc0mu8LNdTPdUWU
R/58H5V9Buui0PFr17V6nOZwRF88xLsg4h1VKG1MA7ScrsJaDCRnDNVqijoshP3sr5uqaYLl+4by
784qQV5/v7NeP+X/c95Fzf8cn6lvfrLJyl//a5OF9oVOhc6JrgqQKGyXfx3Z4aWYbG2qDK01iAz4
tsmyk2Jro43E2xmgodx//9xk/5e989iO22ij7bvcObSqEArA4E46BzabUQwTLJGmkHPG098N6rdN
ybK9dMce2pLY7G4A9YVz9jE/OTyxUVPMQiFEis4vtew/PGItpgFwwVxT5+ehrftBElQxa6jRqvrs
FXwcZvhg/k0z/ONQwGHt6PAIN/DPgRBxeFPfDwVSmQu3SMbh0o/tfRa0cFt1Pao2djoQkjAo8pax
cG8ndnJrpRV4dWTjWLc6ZU0OLNdVJ7uy3Xqf+V55ais6lGXaYjY/ATVFFG7W7eivBKFy0xoy7Dov
elHsYkxLa+DbYjsM5bTFC66ve6TN2yowyzUZKdHWUIWAe62uIhsEZhGn9N+5X21DzafWZWIcacwn
CKC9zaop+JrCTgJxGnpTRICr0NZuMpo6DxXSicRaYtOW68BMhXHb4MEjnLMcyutm4LcIMchMGMUX
2hA8GoU8BjCzFmTnwnJx473RldsOWmzfKklAjnbZBt1nKzbuSre+reLpws+6z8oiPd1RJR7h0ITR
aK59s7wIkD9JVGp7icx8RTbLkVJ64YjUwe6XQ0AFSyEg40z5eGCA8FTAM18mia0Ws/ijClW0I++N
Dkq8gJQaj0GBfcv0kMs7iXwLkhzLA9OVMVcRbjSEdr7J6L0ZBmubGd50pNI+dp62HaiqGy30t0Ck
qhWxhGASinXZh6e0t4y1Z5hguIJiO03VnnbuJiCqfRtl8Ncw/ewrOjk8L3Kf1UOFHSC9zavmGBhs
tEAVqNexI2lqBLWyFLraDLRGi0GGazZH+NZYDqZE3A1FeerNDNA8thNqT5IJHUAuSBytW8vEWm0M
tEBEu1pwGVx9lXpmsyQL8VQqYml8t9p38TBiSxZvpmp/k6kFfjRR6dFwUbQtgtgKrwuQtqwOZ+Ks
JAtD2lI7uHEkt7UjXmEEwNfTLhtp3zeBtk3ATQAAq5iWO+wR5cWUOtddlm1ovFdR5a1rqYF472PW
CjpQ/UbHnMcHb2X2rhbdg5zwfBZk/Niu+zyp7pQLCOJhNRysRFxN/NBOZqfUCRaTKbdtoX3Ra/mm
acM+N6cLw9N2rv0ZqU3uTAciFJ2NhS+zsq176AJM1oeXrsVu01Dlgx69sPTxyvfYiRsstxZgXJ4S
X38yCFJZVb28cM0MrJt5LoMd5sFgGUwtNJ6p3NiBducM9b1J2zn48bCyAvZhXTH7Kkc2Sl14hIm+
t2yBH7KTnwstuCPx6J6wVhKs+43tF191eziUrnYYBuyjdaQOZeRuE7YbC8cmeDCX7d5szebG7KMD
7+9oReLZaDWGAEaC4SWvWI0ZBfGH5hDvBi3ViRBAEVU7eQgPZhw9kDlefDNQpEGFSuTaxAK60MIm
WJVajE0GH+8StSdzCR2NU89tcdEV1BFQAsmoTMiaBudUqPkOo1kik9FtsL+WnvMyMQeDFq8+a7Wu
1l2tLj28TNAPmMU1pgvnL8Bx2o1suKgQfHAG1k0jkGMbZV8y26F5lDI6djmY3CLuF3hHAd4Xtb8h
/wq+xm3EN78qW/A39iwQcIxEnTyUUOthKhjwqfzFRMS7UOUYcMu5fEfWHbKzmM9xJIlz9C9QiU34
27zreCaLDC7IKviNEenfGFhv55RPwyie6zZmWR3tuqj5ikj4nFhTBA2BPs/okyc9Ah6j7GfCygGH
oPoyJUILr0ew1tSZswBKcVF74BLHcBklCL9K/TcWE8O2KK1VlHVPneFtLbOhLQ/b57oxN0XF1xz3
G92zH0iq+Wy12YMlcxaZQ3Q7JONF5va7piTaRuujBz8Y92HPLToMp85LCUzBdSYSddM009mq1dMQ
WJc5PGfH7B56wvFkT0S0PXWbznR5WAhEEKa7zghUoBjEQxApUEqsjgf2ygvW0Xu/HgADGIjxI0vd
MuLiE0yImvQz+67swkNjMK2i6nziJDiWXs5cIsyuQgY9uzzyHyxcZsxVq52VGmseNyuthfKT8e4J
UrhgMrirYv/AkOjJBSTg4ZkqnPhMbu6Oio5yGaN3qqNQcbSVRWJDm0wEW7TeF9HEBz7rVQizZOHq
7sFsx+saTQlEPwJMhbarLPXsCToF6AqMaG8JaF45jjVtoC6S0hwGV8IcvnqitxbjlD0TGwGMeQpP
rpVsS6+8I1RhWsVZvsMeXu5wJI4XrAAhEuoXrOeflZcfBdoefOh5s8lSIRe5afZX2MiChVP5BliX
6pFdqb/RhHMGEAh3OivLYy1tf8YHpRtLqdeQIHlADL722BeK62VCUsDg1lsYZpj8hoHdhtWUBmrV
j/qJafMvui4oQVz09bqiCgFL9xffjYwtmaaZp11G0b2KP8fui2l9mzL8rQvrh+3lX16Ciu3j6mPk
KlZxy0uIEsCXfW6LM3KID2Xm1bfW96PO6ocF3P9egwQZakPIBsYPKitdb8e0d0HiwKfi4Xiemoth
uMN9/s8vM++N/+y754LNZZNEFg0oWlRo4oe+288jXNxx559bOpsSyHmtcx+W9/TCfScXqq6Yv/5H
wfi29Js3zH/fSpzyrHmr3sa/Dmrmf/d7D0E4EAwM7A58M/8TT3/oIVzCTNlmK4XkYt7t/T6oUSQK
MYF7BxPb/LTfG4h5SkMLwVDH1lkh8kK/oC6036V9f14t7PwY8BmEEDmGgS4QdcD3F35aMJAYJcGd
qcEDtxCeCUHIfrJJ/83t9oGZ5D25CN6IxLWUa710rtvGv/eSKV5ymRlL+GOrMhtP6iLytVejj+9T
DQ+xNKpoO1bZi2qAV4wQt4s02gmfsU5B1oBFVsoy6Eg41oV81rKueJEN5Z9BiuI6MkOPxVfEfBtx
tedXh2zGYkczHxurcwYve8IOnRQAtPuw/DJC1Cbz50ul5OPQgdrm7JqJbcC3Zwx3AY+7pclYQCPv
HkbhPMOfDY9ZIb217C1F8xHdo2J5FjPi24T17c3Qb+VA8IUC3kEDd9HhjdDB3WobwwovqVqYDPT3
RAI9OaG266GK1xV4cVsvVi7orxT0uIwEbPnxcgBJbrYTDnUY5V4Y/JYDLfcb6OWl6i/dkDgP4Ht7
M98AClkEI156/dYvTxXIgCZ+KnUqYn7FbT3j0Rs46ckMTG+sGZ0+Q9Q9kzyFGaveKTcDxWZg3NUu
1Ixez2cIuxe26z6Pbgro7Ez+p43JGnOWQu9KxLPVjHJv9JqM50psqxnzbnXt1ei4SNpZbIoZBR9k
QANmOHwCJd6DFl9bPqhju3oRM0i+FrjUUO3lmIQH5bnzMu0CPdYZAc4lON6ViixomgjDej8gZ8Ze
ARpjuTwD7JMZZZ/NUHsfrMBSzY+oZEbeJzP8Ppwx+KGNbnOc0fhNyiKisb+AqtizU2w2bY3jX1Dm
AVq57m1FAJDEXlgaryOpR0uzjG4ymYIL5JvTCuPeYqZfIs9bY0xyLkpN7hMnP0EAe+7S4XNQg64q
Gb7IfvRWkyJeAIQcEdkVI/44ajimyaHqyvihDat5SWG7yzBIrz3WhugDh10qyafjWIWFOaoeXdbe
wCfAFgkSRJof86I4m9S7sRK4AxJYCEAVig6MyZgYFIvZcyKpuGV/yid2JRBTDizcLgQiTT0ltieh
UnA65yVi1uYGPktjPWGXW9/1dXhbtNo9Jt69yPJDW5lvuVL7WPhnTWTPWZ1wcJZ8qFN/YRrV0Wjz
U9vFDRKs4TpJu+3gkb4wc0CnfgcTn44Uu9Ro7oAbHHwTEEQ1Gsci6Y99La5EYGJmmKqV5zePPUy3
RW1Om7CCaNyiZhsn+1C5+o0VFsc47HZmTHE+Jmm7ZzZ7Nsnj8kk8yooO/MtoLwDK3NZ5/UAY0JEg
xVMbmKvAH28ykUAJ56aPE2hrffjAAGJL+NMuVaGzZ4W4hS8YcHU01GoufGjbILrd3wMiuk61jp5U
lEQeUXe64lEMPTJZQeywq7c3uDGoj2D1TzYgA/xIj21jED3SwQxtVvowkSvlZCfK9Weg4Nte69eN
SwRI2D1lFX2oJb5Otd+yxNfXU+09hhhj2DlNgG1v0PvSpDu0hRsnJ9JqHAwYliZncaWSI/ERFyZT
g6FpmzkQ94iY+mx2CSzmkQYi90+9x047dLOZJesstCq5RLu6LXP3ssqYS6AU3aSlkOvQkp9D2V4M
0nwwYu1SetHtNH+FhmO9FOQC5rXPlq0/Etf8MIjujDjsUtDj0Qqwqx77L7qmpmVY+CA/QIyWDd9F
Jcntaf1wC6r1uTCM0+iSntyEMwI62sZZ0a9qJT/D8TiUdbdggLGCr3kNxpAYMfMOBe2aqvqFLuJ2
In/9IrPKYi9876aAwK5lwoPvlazNyXqWhdoy8F6YRm/tokaZ674a9F2M8lrX/beYEFiMETNBlO5E
MhvfSEm2rQgJkiitasFFUSz1AbiI8sWuTtvHug9vy2y6GFv/zqvqHdRRmofe+Zz14Zb3THZI8tCU
QbcfzKt47hwFLM1IjTxWBvqb/Nw3PqnFU71yVLfTEjBEE2DZWpE7KWHFunw08owmOqMDH6+7Vr+N
yahfC5mVKwcryaKT/XVhqFOdcN6vSb3Xk3Xbl+FnKw2BluNXP+oZA50UauMmKNUiLSd7ETodd+d0
UcKOWqiKtzSOxY4wrK3tZ+6VwzAD7E2XrSctLBd6R9Pjd3AUyX966Vgdm4pQbk4YyEIOOPJCT5YD
3aqVNzsvYCM7JIwe8s7tDhEOKMI7xq9ZVUOIQtQQj0T9GaQFkcg2OGsrSR46hm2kR6sK/IeTbWRQ
29oijRTeqdS/AFRTnDM25o+RtIF9WlOlbVqnt67rPpuYZ08Qo/rEROPTsX9FOzclq0lqF0CpDl0R
XpE2tzEHUoX16XNaejd+iQq8pES1wY/qidOuM1k+ekBEZyrFupIIRRnubFvTIyipaV66qGWA4zyZ
nnHqeghJRbhK227TeGQIGPUdeJRx5djBF56sn4VR7UB6nYU1vHmRcWQ/bpHZBUAjNBAga8ZjMVlH
O0xPXpgYS2WnDBQgcxRgRVqO6GpEZaoq7xwJEpji/AaKecgqedojT76whnAnqwlIcLFP3X5h5SJe
hXbMsjYyyGNPbxu0zswHxhUR33dZ0mcEFMRHEfZ7IbQTJNIlpdBWH8p947lbLWbjZJdHxDcPyiTr
OEM3b3DSGs4mdorXOYQriv3rwaNSGKG8TF6wJhVuaZXNWxq4F1rGIoSLbkAQDdn2FfUYg2EWL7kI
b6o560cPly4xqwsjRUkwiNs6Zo7ZZLChR1A0o+2v8aHB5vNX4Dxnrm29aSK5S1v9EeMugmM5bEhW
Wxq2NlJalDPfveTpHj8mRrtkwuID8tTXLpHU4BGSvVZEn10XTLIzXQHqCxjuyTvSEjdGVDzkUokV
icy4yLrwN6/KO0wKfbuGbn/ZW+LS843nQTRqjUmURGl7G7nh3g2Fu4FpidlteitG67Ip6Ed5vjcX
Sudi8fPeQlllA9wfC7n2RuWccwmD32zXeeKQ79qI68TULpJmmMUSxqYGsrvwSFFaVOzpdsGonqwe
hpbLkwbL3UCb5gAy6vOHwZquC009MQH3NkVYPgrgNAuh2k1cdwn4Et614xEbMz96AHMuOkI2d36V
zFFl8amAeEVGF/pmvTqyHQW5CQoJ2mP6tZMDNMuxzFYm/zXGxAl25a0fDsU2mcjHteEgjU17MVXz
qW2Zj4PkRovgXa6qASpROZqXMg4v4z5emhFR9HYw1RcFpJtFOBgPUOL8Q195126dPGFQM3fz7a6M
mSuQcZrjmDaenKC5zQrzWvZDeOHC2nRksfcLcUdQH0Noi/y9vt365LoLho6lL0gENKuFb6VfW4cQ
ddNg8G44d8yqDiHqnbhT1Jn9sK715nGU5Y07lARXFvZlJP3L1I4I1TLHYzZEn8vEfTIHVpU8h4+W
Aa+49VW+0RvzCd353p3HrZEIs23W8YO1Um5yaJirIjO7XZQkoO7ep/ZgdJngQ3LWaSMqFghr59uY
PzaUtta/jf8/dHw/6ep/MjkgWV5nzU7q6uxo/76B0kMhWIhk4TlidZplp3oaFq75L7rnn4wOeBEl
Wc+wwqSV/P5FYm+o4OfW4VmMhD+fBERbzbxr+rt/fi/zlOPPZvB9dICeQDE+wIc7K0C/fxmPVRdd
gKBw17/2+b1m/AtQ5yc/n7mEFJiIaTatHz+r2h1Vnqs0OWc9FxrBNV9++fe3kS/wCfFBzZzI739/
3wbabFhlenboO6wry/0W7f63U6J51/VPn88P37WpYhloPErPiITAq8dyU9krM1wMb0n0L1Ocn7yU
TdstsMsT6Eus7/dvJXF8MbG8is8i2qGUasSiQNdqLjmGEfr988c2/9o/vK3vvpb5Ev8gRBcyTNlg
Jcm5MJaI8Sz6rmY1z/i6zT+/0M/e1Mfv/4c3ldkkz7TOtxcykIohawg2nCPzUVz8y7X2k/sSpwNU
JSI6wSrp85jsw5syrEzPOXizc01ecPKlG9aW9/rPb+dnl/OHl/jxcptqi1rJEtk5c75E3pOp/X9c
zi4wCdt0wX+Q6Pz9W4hKyLUmtuRzxBPQQPw6Rst/fgc/+ZAAqQqFFuh9XIi86OOHlGkZ9b2S+Xmy
v/T2JdFNYKZv//k1fvalcxHbFs4DpO/zjOvjayDWLbKRdNAzvDgUqShUpXWNCT4vVmQ7//JrAQ9A
XMKqGljyj89JXNcM2QiLJIedmmQdzujMNcEYOTXWzftL/aeemEG4fz/yPL5VPyFMzP/m93GntD8p
VvEgmObv4F189se4U3zi0Ux6GnnnCmECl9vv485ZMjGbnCV2BlRos8/594mnycSTAaXgCuKprhvm
L008+c0+POzmgSd+K2huaNeBnLC6/P5ytGXhCxlMzaVds1GMu7DygX3qyQqsrru1O+cLcSQ9oTJW
QObKFJnaIa2dllheO9Sjp1AnvvcceHmLPh19SYptL0K3UGhWa18VWEf7q6wvLgsjDu/I2yTLhrwY
exPVU33tJEH0jPkACVxG5BTTVtRuPlsXMqMgHIYr3ZyCTfOu9SmtoWJ16mlpZKxlYyf1EyuWCIvh
kEyMKFZGq+qw3ujZEMpD+q508Kcx1nA9exH2z1kM4Ro+AIpZIDF0jVpVs3BCi8dy3Zee3Haxkut+
FliIWKH17YJW7mIO6WltvMsyRt2dhnXyLtcobE8DjwDnnazjYlKndqwDpqt6rm5DpdB9gNanwZjF
ILII4uY2NpLKXeNsSM6DrgJ9W9r89whq/nHqTVhMRenH8M+HILf3BJsbYv3fLSoEpuHZOfT3t+hT
+8JB8wbBrRn3v/3f//NtkzH/m99vUYIPKeVMJD0oPuUsQvqoauLO5CmJPnS+ET/cou4nqGc8yMGZ
zDfvx1vUYVnBbIG1hA411URB9QtLCRRUP96jbD1s2DAglXiMSPlDnZA0FdDgfBDnJiJS1c2srYJn
ctS1dvaly+KaOW6+azPTJfLWqxGXQu9uavMw+0TZYA60paZrXVQzytN0YgaUvdp2PexQZyhOFfO9
ohMmu+NX2cUkzaTElKp2nvn2e9dzNoycxapAEdPWXrIgIxVbMhrQPqt2Zhhkd6WPV9wvileFoTlv
i3tSVwvCQ4yQcVT5mgDKZv5GLAXS0d2AjJ/1fh5k11QrYE9N80oz1NFTPRl2vfDQmmveSkMFhLqn
vBq95ovd+q9eiiweJawABlCUe4ezGoyIdtMkTsIYnJlNqgIXhD6KWG/EWO6FiqgV+CGIZMargAAB
PCnGb3WorpHsXDoNEXLcmY+hbtw1uVustEh/K2JrWHuTf18xYQrLet8quot0kjuAZr8JEWcz+ZrH
wnCdiehUIzlIM/+INvNORoTwWrPSpdLFXWFH+mLiS2jI514mAGyWemN9GVsEtzxqH50eyUpd4CIp
Wbr0priaMS+o8cPr0GXqr6W90x/GkXU/2PGvYg4SVNmlM4XHbsz9vRHVN62CujxYguF4RfoDResi
Uom2sAue32TzMNzSWmJhEUCTFNUkNXaBvGKemtXO2dWLccsGQ190CuFVBsDFr6s3veyQwU+2f621
MXDW0Hp19S6+LEf9a5JbI+4JlYtVEOnuZRJU/jLL5kVOjLinsdJ4kyVZccD3cQ7SikymxDn35IEt
lSIK0h9JYopNg3zbeSqvX5K5m6EnmkA7hrTOEuML5ZC2jQZYCZ1sn1URfGY42S4r0DHsfvDywJZZ
1D4fbpLN6PR6+myDLpde/pL63rZlqXcgYulaOsVXk3KnDRiWlSASMh7qS9FUxl4l5b5Q6WEAUW36
BjnN8dk02gH1mzuLyaIH0Xv3VqrVO4g3FE2afV81vsWvrWN70GuEWi0Cm5Io9VaIm3RsDoKpahlH
NyFMANUmT72oXiwXA7aMZQ1DGKB8RShypXpKPZGdLIcP1+I07RLD3CrBKITM4phgD/tClPKVvHRj
VTfjQ2FA/+5ksSmANC/yhujecej2MRHqyy4Tl33SvwR81kwvCm+ZKWZQuV48GllxcvN6rRwWaYFR
Q8fwXhuBSKmaw6OSvlwOdp6zM2uPA5FhyxH0wTIbrd+a3jr14PYZy0YXpYfpPgQhtYx1kEhB/exE
5RH5wb2Mp89SqxnwsnWZTMaIvXuqhixZ8Quv/KkD5iHjk1POpp1J3NSu8Tw2bnH20RQvw0EbDhy9
2j5Pe+JMSO3p4vLWbLW3oIhvHJVhrUnx1zNF8XCC2fyUqQqQPmNXqryyXUWGluzTVL+OBJlZDjjU
ZSnraaHl0H9ZbWLaYqwMiNs+RzmAXsqKZAXJnugyf7iOkJAy4xKIxOX/uoj/SmGDfunvz9lZSLwK
3/yfSYj5h78ftlJ9Eg5lLUUvEw/arT8PW0plxCBzg2r9Twz8Rz1sfOKYh2XKaQvZ/b2K/r0e1j/B
usW8QWyGDVWTg/0XDlueBj8ctjY/DJeGYWAkAQ0g5j//0CgT9RIQKNsYJ8YRKdvfuGz8ZtkqK0bz
nvaFvpTdZFfdgjWgzvqIaNvbNvdWfpD5F0Yb2V/iYPY8lmROlc+RnUh51csauE/UcW4t6i5zzyn3
8cE32iTcs2jS70jm0Ky9rEWlLVxXa86pZ3iHeFQCO2OMKvM2tN3EPE7+lNSvhNyr/lQZoLOuizTZ
dipL3jwWIas8C1vSO0ynjbYicuTGxS/S3TTl2OzNRK+1BRbCeFp7YmyfJ9PmCLLLQBx1LHgYEtEq
8jgnSzIYoPhXZdWsgbSFR6sZzQvPmwpYDEDfv7R1xklrll4/bW2TtVmMEvoq0DnexuyZgf9rpFjb
0ciny0JZb0WTvik3l+R2pKX5G7twlo+ch6Xf77NJWJsm1lookb6CUCfCcMZoSJIEeoS6rP0eJISd
lUug8OsQsovCNYfZA7jMhRbr6S6WlX1pl+2wn4qi3JqMIQghnogSj7NhhoUwV6nYF7sdpsOgLlYK
QW3d1x567PTotDzhLa+yT6NlTXvi1wlpJUqW1NpgS1oXeVU+VCNjdKJlXrcZa7h4VTjum2MijHW6
aZdI92xEodqOXs8Ws8bBQsoxSjhzeDRBva/ifurgC1jbXM6hcZiciVvrAZgMqHaDYD53rGFVMTNY
R1qhnwUpi7c4Eo2bTKnsLRJmdUjLMHsAz1EhAigB5nfR8b/u4L07kNzBf//UOgKnrv/aHsz/6I8n
1mx6MLEtUHnrf+ng8QczMMJ59i4++uOBpT6ZdO7wAxxSA9+79D8a+HfJElKmeYZlk7n4S4hI+3t9
27tiCQwCCGEB8NsgifT755X0jGaMC9zawaQZ1b3uBsR7c5Cn1JJkaCMogGwYnmonZrkHtgySY59c
C43ZpjCSlGxQFIvLxhYovAmFqst9mlcYP+3OsIharWm3kXQeeiPB5Zkn+RRf52n8UGB1VTJ4Hnq9
WdI8XY6Kta+ZAeOf7IGVbBm85DbQQJ1sNzYnYMRGQeJq027hi3FC6+x0eqO+DaT3iBeqCI65iCbc
/UHqD5/ZJBO3hsN/21lVXOQrwmZIxczbsclOpjaq3YgiKpylUYSe92sxy6W8WTilR9OzP0upGkVG
oSwyxKNgs3L0VmWk7bh7Gh4H2Qur0Ag/GOKsyUzvQ9Ra+onJ3ClHwTXMUi53FnV5iXcnUXmluVi7
qL6i6VqiAeuhQqOWXpv48t3Tfzfi+42oc2n+/Y14yknQ+uuNOP+jDzfiPKiiNjAtwUSNP/pjlAaA
0LJ1+ODmt5SsP0ZpoAnBRJsu4zLKCuODdpA/oUsHAGRw8zg4luSvVA7mPLj9c23AjWiahIKjHcTN
JxgiUNh8LBzKvMRPHETBVdlGaKERhOM3tuyz1MMAeZSvzQMjLuWemHigTsKFgGFzOowNCbkbbC6y
ue2V9N2vOBx3lYYn5Qs+nkis+z5LaPfhdngHSZIRQ7JJ07AmxFmY4kc3A2IEZQsoliLZIglvCbYP
aR1HlQ3orhsVem8kPS7pOWzw7WkBMxT3g41xHxFUZEGLG+zKQt5UudEyA3WGCL9PKmr1OXO+JYTa
XvtEXkJhYGMspoY63QrdZvvfpf/tDPrHyvniS/z21yt/Zsb/fuXrOuY6wQiIsFtmtFypf175xifK
Yc4Sg+tY8Tf+uPIN95M1rzNsIgDgsc/a2D/OIOeTwtvMxJe5EsicX0PlMAr78dqfjz+X/4+Pj1Ga
Pf/5h6LZJcnMEGVmneMu8Y8QF0rvdhjijPRdHcpDb9Lzj7ZJhCmkOT9Mkr1ZgTC0Ws3akXuV79NR
B/XUC5fMscQRm2FOBDZtCxIlFn/HAknZR5AzgIAcNFYaJ3vyCA9OxEalNOZgzTbu5LxZUYc8Bn3t
isDeCbhu4LNP749Rlmw0h+0+M+v2punqvd4N6jkhmwVzSeDipuMwgAMxgd7rdf+mlFm7EmqcVrUO
JzBLq10zyUu3dt9sr70ODec8EbMNyew2dOC35PWj5jvFkeS0Yxm4e4x54V66/eNsx3G04DbVrXs/
dIYFC7oAu7RRYPz1n1hG7Q2nWEfCw6CUfGkDAARjR1hQ3HT9tg64i0MTO4YBc7GqGDDZuXssDUSG
caUDI04uywQtBNlTpzI1v1RBc26m7GvDB83EJ19OOcG3o1ccIB/Y9MXNjt4LPRPlsNRhE08ZsTo6
ENACrZRhj4fJ0x6dKrgee0KKgiYi+ZQ1WGnXEwcgFYADdwWtMBGjzBwxWz/FjO6xFFNEG9W0QVWG
X64IXuu0Y3JVSGuVyXGrtPCQ+K6xTR39ElGFvuqbJFiFVfW58AJzbVRfWzWKnYqVu/b8khKaqRgL
la8kpaHIc91zOT+KphAyYGeXd07laBeam+xiqyJFtN653dyTUfpHTWEvLT+j0Rf++Dwiw3J88zcb
b+g66uhwoO49mYzTLN9ETjNdl6Aruko+9chDiN0JvsKxGTd5H7vrosaJZY+7GAPKojJlzXqjfxsc
3ChYIDFaFf4m0tvXkXp+gV1jY3cxWlvJn0dVUW10sn9fEFzqF1jtoWemM+a4ATlLjOEMP+b9q106
zkRkzwoZcXVgvm0GsXPCHnoxvil9zt0rGVws4vkTnyAyL0KvwebShBv3PbbPmxP8qKDws3XiPHEz
XNOt2NtYcxDgmWT/UaUdDCMyliaxgMacDzjNSYGR7wMCmdMDDa62RWWVWIViOYq1OecMQtUkcbAk
x89xSCG05zzCHA0ymFoCokXXbfomfXVQ1ZYYNBc8pE5Gi6QFk9814HLASEl0WSq8Xbp8gFgw3lZS
i58yOdt2yrS+MtBlyjk70Wm4ICtlxOtsVgmZiOSHDEGPAX8AByj5i6nualhrMdXJvu2wx5lY9HIX
GMp4iglwjF14oO2c6dgmgDL1sH6pWm0rDdx7nVHtM4XJD23BQQMcdpBzSmT+nhcJuPZZZ9mFVxHw
YDvnSppzjZjNWZMhM0zUb+RPTs0kXkupP0Zp6m3cmr/bV72zJYCZp1Kc0Nylc66lFgkWSThbpT5/
v55KGY55x5JmMun7y5A7atlP7SFyq+ug510LzdpIPz8SmrkNU69Z5y569miqcO+7znIIbEDqyACN
Bg5OgZO/iYJxk2YpQ+zQXBHpTHixYx0dnzjevhDb0IqfRFdtW62+neKuWyRJBUgYNlHGPK5uKwjw
LZON0K6IdC52qq0JWPIChA55uypIMObvAeo9OUN6Rz5VckGY+1XGJ4pbKnTXaY7e1Ie3Y0XNA1X/
pjeLY+s5b0OuI1bP00MTI3Ly5bBFW3P7X4XwrUL4xx3WxZe6fvvZovnDFguc3jwaw0RvYHZ6d6Z/
qI6x5FOT2i5RAh+3WO81MCUzwzWTRvbdcvP7YM39hFtK8RMpFGhmf82bP8/hfqiPLVZrpmVRkaB3
IiHh+xqha90Bo6zqzyNtn70OOg+vZ2u7I5yLMFgnundsphgT3khsY/xZthL/KoPEsNkXUygWQ6em
+KIGgIrqc9Abium+yHLyfzJagles9zCgCWj3pjUp8zzigJXshveC2n0vrse6hljdvBfd3jhNYIy+
VeOMkijNS0WUK8r+97p9yoFeLlg7DXJNKm41rU1bElHgOe/IjBiTsogdXNWdb1r3idQCtbF5zLAP
54GTKbPZFVDidoMxttHX3nCGjU/2ILsrPwKhOU8zd0E8+AfNc5KXkHSDlQsWSiMjcOzWWoJOsUtD
zucgDhYixR9MH2y9dBbsk2lKIduKkb2UVfrm1hqDr6rXzEWaOV+pdFjkpT7Tt4I/K7RoVpO21ZZp
f38M/KI+OvND1Q/hZyUNeQPwOeiGbWLidQD/1Spl27OoYITR/WNZlWModk4FSiH0+uyLdGaiyJT7
h6LSkitzZFxGaqO7dYrsLbYna0tcqk/EYWdu67xBWVxnM7vNjtam1SZXsYA2Xbr/j73zWo4b2bLo
r8wPoAPevMKUYRWr6I1eEKQMvEfCff0sSNMtNlstxo15vW8drSALRAGZJ8/Ze22AZfWgIvhuRrJ3
Kyo4W/saYzTacdznsWAqQqYAcANYBxaKUum1zsJoZy45amensrdx236zxjDc1hyvUCBT+GF2jnA4
9yqB3FXRXTiGnPqqFKeXXDNqscqsLrJxIPA0ZcZp4cExrHG+Ro5rbEenKoJOxAbhlgXC6lYntVSE
Q1AuLZdpa095mUEMaOCtta3O7GAEuAfWEbl8DcdNwMvdKrnZXAO4JskiGvtrK6EiWRB6AmefgU/D
OoFgKDsIQEmKXduDdTAplnC7oiNkfiqznZJjY0KvUOz+u2x+XzZ12mH/3lO4FT2GxH8erdaf+uto
RedAAUFKdbYOD9ZD0ptlEyIxtkM6f6ss4G9HKw0N2jqlQIsDe5fF7s9lE9gUwyaOQWgCfiy2/8E8
AjjU+2XTIlyP4x1ruky/UOb63h6tBrVUgeY585kDWLeRpbwMOl3uqNM0O2wOtgyv0W0GA8m6ETL0
Gxnry4WxZcDInH+d+CexbBynVQUwpIzKBDNpnY6Il88aehmld07mqh+Yhqa+VimMXVYv6VDMkbHt
EBw464SMeNrPZcNzj1boukiwjIfrPE2qB4jfjNiWddZWrlO3qGb+llQjhZpNdSmA8nF8Uq9RLOT7
oRgFtAqDwE5medI61TPW+Z6SCZz3zjr1Sxj/Ufh+HRkHVowF63U+2LIC7NN1ZhiRQEsxxhxRFuYn
pG83zjphDCltwMyMPjAov1unkCHjSJmxZLPOJ6douJYZWBZoExwGmAmDTFqg23SdbCYLmP6SYacO
8sgFqXW51PaXZZ2H8to2nq0O2G6YldJobDxJwMeLzWnjMFDN1smqwYg1ZNRqSc1lyeg1TYoG+wbT
2GSdy1Lovy6JelIo9oPRrm+SOMo9OdUa+6rTCB7fSqIkfpLRJOY91qcGMrytIFaoqy04iQ0+9K0q
Q5hXnA32iq+LbSeBYQ2cbA2gga1lY7rnaFaKbhVdpDhT7LHeORGnkFHVH3GhXQoy2kmtqYNhUg2/
m7+GlhmoKsoENYzWqc03YUWVb2VQTHp9qTaK3Oesm+pV2DLyt0zqvTqtr+N2ebGbLnQVYrk9mCqm
164HjNKs9oPaP6RpdS3kQnZNsyaYPE83cDWM/DupqmQ4b15PY/QIU8Zhk+oOEcGs/iAVEChMHle7
M0KXxJnet+ZF3ll5mQSs5JglIwrjpHE4LKZXGWEzXtOhGBnt1p8bLAO9kbxwpsWkP1Qv1qS1Xjdh
9emkcNmFfaVz2swy6KyIkwtVgJFRltqf9EincxDdWqHFMwVmbacWxWUfYrwUZeaQe7GQXdTgiSMC
6pBL4zUd72d6aqFbTgX2ICykhanuzDXkbogcoJNd5+eSasDdVDB6kR1i1ky9YHPF9DWmczVJ+5bk
XyzA2WeRise00F7rebxKdcFRKCq+skidWjVi6jTap2E05CC1sUCFXTkcnZkjU619wREMlqyOd1o+
v44pqh+1vMV4knpA75/zBnV0JxnRxgavC261FS6pSc9d1VyrEedIsk2+pguAhFkNt4sYLXxGksl+
tE7JI9i/ccRhli5NINXZY4nPQ2mB/JoD7QU5/cRJClxMX+G7qGCKQYq/BBL+kLYS3rrhAuqCHMiT
EZhxfRFW+JZEJbzBUBRmh9Izo8jtmhqFDCV3R4tY4jiynvpFJTE30pzdUFs0Rgun2I0KD17TOfpZ
zSpYEg3hvl/+uy3+2BbZRX6zLb6U/cv/uC/t68uvGN06P/zn7vid0W3p7Gh00KFgv225y39wkpAx
e7A3rVvoz8aj8Qf7JUxv23T+ZDH+uTuSLmQiNf0+X//h/v8Pdsd1Fv+3lruzSmdVW6fzTxjbe4SE
FivS2MPwOcVk2nenaXp+c1uufvymt4gKvBj/+IR1oqAaGom9Dtsvf+Tb3VeEnY6RbhIn/ITrevlt
rvVTHqY3Rtt/Q3PG+bvFb6drja9I5V61nF3bpIGwcL+YklltyZjella7kzr5LhXxBqTdFwlfs6s6
R2G0aME4LbtLnJ+VQTGyozb0DcEoBVAvwiAHXLsqdNO4KeaNVs1L546ysZ9WqAhrAy2ClTMyc6bx
9RU+0qg5ncMVSKJ3qk0VH0lP6YorcTL9M0oocFcrykTP4uZAd7ICDW6frdqSghzyibMiUCh7kMWt
WJR0GhVXW1EpygpNAV9wGKCoIASCsEQU/IpXGVfQSg5xpVzRKwhz7kJYLBpMFjtm918wcUsrroXT
FMov6dyvIJcO2+EGkYIf1f2tlSJHwsmtNc6nDAZMWYuLfoXCGNBhpsy+SFdcTIS9mtPJRWNZL6FC
rwoo9y6iJSSy5KVfkTOdpa/9nV0epWcJJo1Rjojp1OcOVo0Ds6ZojKO+QmxadbjMtcU3odu0NR3q
FXdT6c5DugJwyEq7alckTgcbp4eRUzcMOGcpvdBXi9GK0UGZhR5g0W+TFbETr7AdAXVnXvE7xgri
CVNzK69ongpGj4DVgxjM47vgCFWCXYvpYZM9gPFweNQrzcN+fTI7Fmj4P/DQbuIVCCQgA1n6cEnf
Zl/NI+TN9BGbLYnhsITyYTyi0b7FqgA3IM0fVahDSmg9mqHYVNCI7MXYSFP7iUqOE22PlVLrniv+
eGDe01aaly8ZZKPZir0W0pGWTcd6TG36Z1Ht6nPJL/0ORrJwjUNK4i0AG54+R2GYulPXpxtJCB6b
5tsMZcnuOdpBXRKQmSUoTB0wZjeDyzTAZ5KN/HVZeU0ruCmG4ITCmaj2FeqkS9ZdDOWpqQW4pyRK
OecWr45ScGBdoVA2yUj0oABFJYm5UGrCegBnlDr6k6iBSmEarDnvr29POt7KkKfQw9o0FoFRGQ1d
OTq0N9MKqhIrsmqIZDrCptaBuqsHIuWTMBhhXEW9iqES6pW84q+cFYTVrkis+Dsda6hXUlbxnZpV
zBLC9DQZktO0YrWaGrumw60ga6mOvPYHfquKfR0OPmxRSQ76Re9IqwfYVdkmW1wh5AOCGBT2s+r2
WH37fjrXeg0PUGD1VjTmHIradDt4b2kQJeJI/4IyPqvLrcLZmorECZaJPpvQ8zqo+qbidJrkZyuX
KR9z9HjLwF8chvVnY5kf2lB7sbJmx/qG9EUpPIfcAX/OpWOYqRTzORy/zDQQpNC3u63WeQwkuDB/
FFl5Mw7kN6qqedYTG5pY7rWpzohAEXROywMgdRZEhYu2xutSMGes104lbL6IcKWcSEma7V4N1ScH
PRgbEMtz+TFrB08ju210wnxbTtknPcWn3CUr/D80DwpCZzfUE+u1HiXVW5amS9AZjcVdphTjhnCc
rWZViacxfPFgbMD5SpL2crGzk6bCSXS6a6UBe5FjfJ0KxDrLaPgseXtVCQVmTLPd5zP2cqm+K9TC
o5ARud+1Ig5mWtlkYglxMcpm9ankCMT6K31rulj2Z9FCzbMX2q21qZ8rlPyzN2cWQTtpPGxLvZip
1J34MWz4BFXkdyXaZ7CvsnMh5ja9yNPoVKLt9nJLs/ciw/irV9YdvXWARPhTF8pS8qpmPQw3KM7u
zHC+s0tjeVrCkmmuqLqNISLFtcAd9MDX8ErAIanmBj49P+i2gyGe2iS3N5M9J4tH5FvMrhT3O30A
EkijbKPZBcVyUT2bQ72HAbCZLMSxXYWH0rrImvlejtNgoPjGiRTfi1y9s0XjoA1FbFpJaetXYT5D
q0lHt5blZyA6mg+GsHkSlLh+XRHQksU86FaCKh1ZxZM6Of1tqBrTxhYSpDaUZMHvt+f16Ptz+8ef
ifAFOfwKE1q5PeYqjXkzdaRY53gepeWpzwAvTMveMMfrse02v/+YtQXwi89h8GogZOG1f18E9NYC
jjcuT0Wer4rve1YlOATFJ5bL1h1nZzXG57thqje5ne06NT7GNLdstTywUh2NkH6+k13HobjhHBVo
sfCEw4QhCr9WwhwYzwFQXuyTKUcvv7/0X1456iML25xBl/edJsEoRJX0TlaexoKA7PlO5nAYVx/Y
QL93bv/2PTik565EMpyZ5KV8lyi9+R7A7ZEOmDGVqaMYbbSp7+Ec6rByyNuil0t6qzQ8MUWprglW
h8Ep75G2rwScmoVKI9ogLQhgWsQ100/ntmRXEtUA5wP6p05nwjPQ9AATiE4JU8QpZPwwqrw3ZgE4
bHaM5QZ6zEvW556Sw+pYRmiAnWIGMfF3QdZrn6VW3az2IY9VCZETsk+vajj8xwjX2YoobWJz3yzq
VyatL5O1yp5kXKxWfgm7BeWeNUtkuozppRzjOl0mMgAipU/A6KSWryTRQyiU4q4ZkcA7SnQ0Csgc
nVn3O1MZAyzvCJOZZc2pxRFUVs+M5Ut/WsghVLT8GMovQt8Iw9qzLj7bEsQYa1R2c6o/Y2WIg7Iu
F7dGM6LRDl90So+J18yHLVL58CF3bV8YbqFMF0IeXrJEjT/PDKNksyl8K48v1WqhQ9M1G1gQJHeo
001hmvnJEWQBmMt0YLD7Q7/0r65gumDv3xeeB15I1G8GggBn9dO8fS+JF69K/g1PmaK+aE5X+At9
opMpkW/Gevop6gw8GV3sKebkwxBHEa/ll9wVUvjizNqpUXfZS4s7LuqlUdlPml7Gm64wmo0QMp1j
A0V8RLShO4D/CeRKL3YINmt/VJKVPCJRj7AQwQkqvcRobqMigXEed0A6EbzQr8URUTcIB5bPbWW+
OORz4zWoLIAe6r2pztTOMHg1QjfNqkMGa0j0w0fzKbXN/RiqX0xrWnMKWQYYP5vldBc66dFi2t1U
2q1pMFvFlSZm9dYYhsssjW9Bdt8UlrM15/7JzogZpG6UA5jtK/VkoO1M08deO/taKvmY4Ng5TOlF
4pnwakd7VjTpSYmHBibNogWxJW+GRZrg71aBordbWU73DsRstbKwpgy+nvWyZ9vjwSIueVQQRChE
kIm8v9Mw4jn2RCN6ftFGxpla+1LSByI84ZIGnA9z/lyRV2qV5makaRJb0JqSkv6Ak1xnNXBbjKtB
1c2BmZOzU1PQVGbEuYSXcZCc67HpvyWWtMZxyJ4u0g1k8Mwzu9hXkVCjrjyaHUNOreFboteB92KB
8UmFmgmkvPDHMmV8JDdlDci5gscCZRfmQUYvkl2ckfPOVvLnoe42TC1KZ6/rvqKwa+bhCO0EUEpb
1L6AZQ+ZBAsJVqQlRd/s0CwZFXi7ncyiu6jKJlVsWjL2VWgru6jsD9HYHEvboOrtcwmACs2zObcu
9Gg81Cs3y0DI6GpYdbwR+3lcj5dSxykhRwOhFUElrJUzdmUagUXiCm0bMltNBAT6LrSGx1omEKaQ
L00CMYIp1I9pPKJRCcPwINTBgh2mKORoh+V2HBa/pm7YVXOPZcSEszlQhVgVJHWLUcQQtsoHW9sH
b+p7y7YaO3Pq1Jk4mez7Q3dZIJiehpWGes7aS4UTy+/3o39a6/+2Mqw6prcrgxojly8LVoaq+qpY
X4bpZnCOZfQ06j8GHv+6CCFgerdnswat5AYVbAAddGPdGd/sSWPXDw1Eo+m0KDPjqAScSBKqd0YX
Vfu4ghmQTcOhrpkrEnypYFNBL2OmZJUvKVO6kd/rAdn4psv29VRqEKg18SAl1Rka4G1O+capB4ud
ejsBW/VLUtWLPvlUklQoEfRwEwkQwkYc99vCECvjFwGPEsyKTIwDM6uy16xHCKi3NTQgOikXQuv3
iaai75/3Ru2cxyw6tGzbFnScTC15mSRXilED1MpjUbdBkof7saajlpPDi+2KnC6yaPIxem4mpwVv
QrtU7bTog7v6934LBde7m7qOeN/c1MyESd2G9nSyp0/x8jrbH0AKPvr97zYOhhvUyFE2nxL7tk4d
evf3v3/+/lEP/f0PMN89f4VZZHKmRvPJUK8S4nC4TXI8e7//kPUuvC+HTAbmhNCZYDfMd4/eRFMz
7qC8nRwVy9/nfiyoSe6Tyfrg2/jObPj5Qav0mxgRy1DYah1K01Uw+PbrmInyGkGTqyfKmM9sav5d
vsE4GQxu4j26pfu4BzhzfL1JvPhhCl4gWLzyRnc7bf/7P3jV5P7jL3674b8rxJ0hcQi3YBnpN4Mv
e3Iw3YotApWNEzhe3m6ULfd5o3hw4t04cPx6CPRT+fn3V2H86irevvLvcCR52OW22nLfn6a9GqCi
2jhXlntmfBD720fDO5p+sXVO8WbalbfG7g7Pznbase65yxYlEZlebuY7vnQUu3LbnWM3ntzIf6hc
cZK9eWvsnX11GHftfbG5/f2lvzMd/fPFencDJbVL8lpKeC5dOOmb7it2vzvFb7zUD31kckG5KS6q
7dXnYyD2hseBPb1IXeciPSH88sLAzNwvoffw+6tS/978/MdVmeu/v3ndyaodWjKp5lO8x7bvLbti
G96VUAi9qnIBq7sI/Nx8a5+anfqJRlrw+8//9cv68z16t9qw1EgzASDTSV6qwBrHwyJlp4G4kg82
pXVV+fka/fln/vycd6uOndjaMCygSamp3WH8LE+70XydtaCRsfPUm9//Vb9e4/76tPeHSQlGNUye
VJxiFBczKMDo+v/3Ae/OfNpkg9vDAHnKjIOa0gd0LP/3n/DBF/MeKyIVtV1aMLlOFWnUWH5r9WkR
9gffykf36d3i1il5lw5W2p+m9VtB+wZM3fv//R3vHjBRLfi5umI+jcPkJTB/s4nIuKvff8gHT5f1
blUyw0iaac6xG+Bf0R2SnfL+rAGHswjfS0f1NETJB7ful9+PgXkRdRTehvcQYwDLWlgnvTjpxbc1
y0gDM2f+kOr/a4H1y6/nzWe8e2nQ8nZSE+vTyUh1+vfXRfFBV+GjD3i3JJLvN2lp1QwnmUUbSj/4
jA9u0/f98Xcv/rqhvFnf4oShT5jzHHM2cPFrXgy77JIjgndBsFIAMdwtfpjs/vWuvRPK/3OtWf/q
Nx+p0P9TejVmj3qiMQw508N076JheyFTYz+4VwsaT7ZuIyDT07WvJfemD9Zd/eq5udIuOLUzSA7m
3t2VXrz96PJ+uZG/LV3ePax20o4y5NT+pJzXjVxyu22u70vFc7Ot7j+W7gW26sM3AlZ0t72fD6M7
frB6qevy9Lsv5d33PkidGTfOTC3hkyrqo5BVTdc55P4NOpWjthX+s7phAE/HdtNu6y157B+s0B9d
gvVu35MmAk6B1vQn6VC5k09nM/2CSNe3DuLrtKuD4mht0fx/i541b9pm58hPv/5+0fh+8PrNXXif
UJ4NWqF3JY9mu5k2IKLcZK3q9pl3B691v4cm6i4nhCiPQLX9YlNvrSvhtr4I4j0T9U/5Byvl94PZ
P67n5+tuvLsltuQwGypZUpoAWsHWzP1pQw7QMTko7mcQ4ZvMs/f1jqbecfKs+8CmOiiDfpttbhN/
LRL+rzj4r8l+5cj8++j+8qVNfqUD5of+HNl/9wpx4rVIxkA6tv6+vwRteIWYlAPKJ9F9tbL+HNnb
f5DZhYMIkRRnie8Ooz9H9tYfK4lKxw5qwKBhVPSf2OQw/vztBefUssoCOJujBeYq+IV/XwJtTPxr
1tVyZnb90GjkPufoj9aWHDP0pdjYjbkl8mRvzGDZJ+ehqJh6ygJybOGYd6mtX2pVvy/SNGgGO+x8
yypwSCTxWN/nlUNcoipfR1LZ7nsCYR0fWYz0qjLeQparAPg80EopsIWv9GUzZ4rMPDMJCsQ41zKW
A5+O/O2Y4Wm3h/lMsAhizlLz6xiMTDNVd/MsPUDVudcYlrmySl0it+QsS/M5TuwLxdL8Oe4+t6A6
jKwcSWySb+pUvXJs6UEdutKPeww+YZ9dDnWbkZ9cfptb8gRj2lKhjmVCbdfQFXU6Iy54aXJCkw1a
D/5cxV8Ygy1+L5Pf4wArjeSe8IAqVjaZZVoIcSR93o9TJXl0yg6KsM4a4F2hxIdFWB6MLwtzSUwG
IGq2dqgfY9l5lnQCgOxcu86Qr9FGeMgSsvvadLnvod4OQqnhaI9BUVffCCbwmf7fOILhKavTsY6K
vVLMD1knDlI1AKghmhv2PN1Cqhv8JTgPJAk6q5Znu6aTak+LTU+aK9UPVVkAgI3ts4rcGXFsk3lD
TzM/rkavd2hbVsBN3QKJc0C/dPFK+h4e/LLPTJAvSg0/Ub/SeLtJQben7lGG7IRoz2HeQl4gq4mw
yrYBP2oiVdr2BnMAFw3aXuvRhXXGZT/RO9YqVfXictjocviaoW+AbCu5qwwrLaeXyEQCwO/0qtwp
/YrwrjHGGRJr0ovcRil8gZ6M2UzzFBxhc5bZlzjxmFnLndioIjaP+aghmCvbW6Qa+knt4d0ragRj
3XJSf4GaTmrV4nVmrhPHS8oNqeXbcmX45zz/J5HYhMvqezrmD6hCd7JQH8ahVzwGLLJP30k5YWxJ
j+jfcZaSIhnEBttUOKQS0jSygzRdCrczPMhTPWnqdUJzeJdkw9bR6W2O0UWRoeGbGvXF1kygvuWc
nC3o6J5DEudsw6LpO7j/c5J7xli+zh192CF5qiL0cE6fBVHM95nmc37W9ZWoW3xQXb6rYA0Zi4Bm
wLoCrLWC8N5V5rU2DVkuOco5L+4z/Yth+GOxf7NuXv3Yu95qe37xEbSzcO7LrJEyMqK/L0NzHU0d
0Ab9nHWvIrua67vy//io/92j1k7B7/eouupe/qm7Xn/uz20KZZm2WlORSENXAOnyZpuS/9Bobf3Y
vhgU/dylrD/AHIC3/zOVl+fi5y61Itdkpk1o1ciC+Y8wMIi53+9S1OoMmEF0Anlbn5C/Px6oGTPV
gjV1LmT8W5cx7K5PkyLH9t5oyzK6qqTRuFhEY34yY31sd45UYlocJ2kkVcvqHpxYr24dJzEWhgRi
rDZaafWPnSYQIjCMsZBHQq/SE+lhUll8pmiBJq6qGRB/88omS5Vx/1kM5l2Uzy90+V7UONR5027M
zi4CEli3al4kLKCILpTMDKYhZPbRXsBEJAOgQwMStUMHg2Z+yRpEFw1uNcZ/HDY6pdQJpbA5UZv2
Ji9B50slGmJDMFKJ2pYWSLirC/NGHxhbEWXgZ5r1ZQ5ppZOR5cMme2nK5hbu06fYxslXhewVZZky
k1OXZWsnQF+qAZEGvbqb1LSOg909qbQJMjA1x6KtDiLOoGeFqu3rnUVWcRthdhxrG7VIdoMK/b7R
l/pSa4c1Vo8ubbt6TttiRvymrzbFHEdor02xN5VRfixxbiwWxCuzGejZy8yA5Pbr0rUzpsApD+xO
7OglbGU0pQpp87UFaXtGkaDrDFZsVd2Ias3MI5aEi1JGLxpsY5eU/Jc+TIJJU/VQxtkXYsWvYb74
dp1/VrL4zqzg/fd9ChnHCPfYKa+TusndwWB+jaUZ6RSxuNFKkqhyRF2meae3AMMiw/piVuVhmbWb
erbppsk2lrvSstx6qFKkztOhZNTUIwVn/F1u84Rhn7pG5vTKgESrfEjNLvdNMkA2JM8HDJpvS5QP
njRSBcSyvdEbazgJG0smPQa7x7i67zOzeCA6AcxMJtAIsZcZWnwqFwhAjSSTkTaL+3ZOX0M0xzsz
RjNs6DKwMPvRVO0nK4w8lYIkL2hWTOtlyMONNJMSHC7nPEuCLlE3TnjFw1qd9EEccye7IvTlU2I6
xaZEkbhpJ8hkupP14DLnQ2/y2ClGeqxUxO64LN1Ysh8lK5YYZ4yJp6RT6EltsgHgfjLq4qw57UF3
zKuhg5jbr17fyNI3ktZ80lE0xYZKLiJRmmZlXdSDeZ7XHCGUygfJCTdoFCkew+4OU+yrKU2XrSm+
qmFx1/XWXiGsNB0y5NqxBTQkdzrmfXwPmHC+5MrIK7bgQLKnHG9kaZ7544kdGuOnpsWcrsjFWQ2V
q4Zts3GyV0kKPbuCdGfFWCgLrbjq0UYTUU/ZWfTlY7wC+9g2VVomZX6QclEj7kQvF2Lt96yieMHS
lAX9nF8rBKnkUgUNWlNbN3b0nWMvx7zsL4WC0kvoz6NZvFBNXiwGHzoCQiP5IQ+dPbzBc5fLW13T
d1pNfEMSYgCgtndLnQSLOQOqr66Z3UiyZyNGHdlrh0Rpy+tuxUdeTIMyrfl6A6IkdJKO0/Q7JbUf
RVHmuKgK9KFNQjx2k8vMtzquPior0KeTrl5Ns36BJ1k5xbxYHt+5cS6Jh3CNAa6s2VvT49KU0U2r
KPkhJbVw23MLgjGX8p2CldetSb7ViE8NI9kdzD7e9ZKG+Q3wH1KPWlY2UhpmP/pA/92m11P6v2/T
d1/jl+IXm/T6U39u0pBRIWGrho6QCjvTmnb89iyJOZRIPRsPOnvuX7u0LsNiUYEfMQODh7IeGP/a
pfGUOsjJYUSoQE3/QzKqoaz9qJ9tCc6SMI8wlPJZ7PsQLd4VcWVO/5NwFfs8YJTsYAJq95Eh79Ky
lC5EHgEK1hfPwIhJaSz20zgrLgdBM1AG56I3MtOrmcvizERtJ1XNVqSYEkqFVHuw/EEq6s+ROvGW
wDuZwi0BWELyNUk8dEgBb+YiHbdma4bHWJ9N3EmWbzaItWukIJdI5llBI5Vhk6W89mH3TQ4FntCx
xN2RrqFcVZcFySRuMP9fW/CKrhtQbl6UjXj+85JmDvg5l8MHXmvh1OicsMwwvwzsKdukkZB4Ja0w
SFeTqC2SL0oJ/sXvBuJ0+jIddiavEF6sJXR7zoHocUvlHKqUHJMo+X+xU+4s5J+gHKbrJclLt7Vk
lgMHxsaC79xtNbvxHW28zC3SXqr4YirVXd/ibOpL9aVHSXUwI/abqh8M1AzpDZlrHhGuh0GCJIuV
H+VIgddjidG6t6INUBOiNo7NMJBt6b5eOuLj2l3NfrU3muWKvKDZR1T4qDXW56qtTg1CPLdV4gsi
v6+MPryLhhUCghlsyJxvba3vZeFcGnDcfLh2pkdVY23RmD2lY35hlsnzlPYELTvStymyUZT1zibJ
h09G6XytS6vZK3pMvmvZ22wT3BYMp6hX4yg+JslouRnC009qWV3Zc/qQyTiLx4KhV15Ch5UA0+GC
R620dN2jOXTPtjl5la5WQYZk152jJPbqvHmoNCfbFHIOf8E2oSHI0x0xHUBt1UHzkgG2X7kogwex
tfIiXVzVHeIv2RrTANveZ73unwbqjiIq9U2oKV/qMEs3pG33F2WoEnhra5uotIaNOWmhh1IWkAeP
61aQWIH2Ti9aN1GQfNe6tpeE42wju0g9za54ESr725yaSIW6V60eCT3BzhooaZf5wuy+jWVtcrUr
5deWa68us3yTkMxkxiHAhdZB0JbwjoQTISdDFS9+qDQejRySjkBkQVBw/NieztoQ7lSjhLxbns3M
3ktSshEqzE68eZcOvxNvxW3djMBhZwtXl/loOcUZaAzGIC2d/TCluYo4Bin9167sn5CzyRzFcU9V
ae0EneVwPHd6nGRpuamy+pJI0W0nFfdkke2zJjr2RU3Jp6L8IBBazYleE6RSWSPQl3aazkWuggaR
8+e4S06GWQM9kkdrnzbWUXWKU9KTNSNpPa40QhQr+hCY2lD9RbFCzzlSkr1Ik6MqkqNS1M+5gr/S
Hjvhmkp4r1vGo2i7M2WvviV10fGnVDHZ6nX8B2U/r6YnUndFv410otAdlHi0Roqb0QwfFwjPLqL4
jh4KDoqen4uKnFE0Vrk6zfbh0n5tSk0PaD4BZnFUciSrBbI/Q2CH20orJX5UQ+26H7XI1RIxB0Pa
6ai7YI1kjfwNQcFBT5JjEscWCJ1C47FuyLBJnhdTuwtDvnccEJbXoIYCOqLcgOx8ZiqAhVorr1WJ
ZoiyEOHnCBLB2LOb0g5RmwzXbSy2YaneDXF3KSNDh0NsXyRtTHljFdc5YT6TlUgX8ZjfJ0Zf+nI/
XZizHZDahY0aY6JHxkPumeWYBblOw2+R40uCtSXXwJPnE/72LVrCu6aOUFMqK5QxievtFKdf2to4
R5VCjrI9Lj7HQwydpi4fRvDPu96uN9Zq114aSPOaNgbS0Nde5kS3k5YEQiVdPKwP+FloBtXtBRwx
zJRKDK2oQditjSbKUbMyNmExPxWtvOkj+QXXYbKdVKS89jic6DPdq8ZwXKyKH1WJcx/0TUtG+VDZ
h6Rud2kX4i3hIQL+YWIT0eXtbCmfF6W+NCLW7MnRAjONg0Zpv9KPpEXVvKAQDSyE3G43C0/XlGfY
Oz4B7ChAR2K5MwySPatp1G/0gYcANAord+1ayMB9mo/Ens3WXS2SS+i8X7OehTLRzCoY8jWTHadr
j0tH0eART51zbslo2qr6+JDz3NIT1GEKjZjRBxUFGqySFjEjScBLtZXn6IW9swUFEwtUSXMVyJpm
nm1bsrcS+uBt27VPSabcGiUw0mpx7olGe05Rh7st64LbYR0lzxL5Ujgpm0W1XzU0RdvWaTdc32ub
Qk8p7epLFyJddVJsHyWZASfi/gw/rJsr9rzLUeffRqCBPXlN63nA02qpCpxCfAnNjNgOq/mixUSF
pNTzoRRmOEPDSwU3h6tHM8KUyhn8aOp16nwBv7hnBQttIIpku/vIwkoisatNJaLdbDRxYLFOwht1
R6m8nasl3iZS+imzMFngntTiAmFESEJ5yrRqCYdbxaBf2QyNdbFI1r7uY7biUqdqpzTyEmWZPVNS
urODoSCai29okirPLsbzhPUC62Z0lLUEr0Zff7Ml+Ezy/7J3HstxI1vXfZX/BdCR8MC0CijLorea
ICSRgjcJDzz9v1Ld6qt2X0TPe3r7kpQoFPLk2XuvbflvU63poSbx+saVA2KWmFFDuEvIIbrjfnzh
bQ7z7WKNyT5JLVvjhsCugsptX17XRVFDYmxTEUOhTeW4hth2ZfKrYvvfHG0xVv7zHA33mDQlAPL1
rwsv9ZU/zdLg2OC0IX9wZ1bFL7/P0uDduGfSxkKuh0Gbr/pRBOL+wmD7XTf+lV/IBP5j4+X84jEB
A3XRoRRjUvxXGy9MzX+epamKYecGRNRWM72CPf8sTfuRhpnX86gznHn0Cd8SuzcKIyjm6iVlHAyN
rNU3HQ6rbZG7fGbs/iht/dtYi5KpupxOkxoByoQwRi+GQ1zHId5W4mVtzZaowg9MA16YudmXKWq5
/avmxrFioixUm6Oreh21ZvFvCTs+2ar3UU7mgoxCh2W+PMUxNDORvlBb+FiWaXXj6pG2rWedtVZK
T5+Y9fRUFmRwrBjbPwgqL2e/Mw/Gh661wy42tOkRyP2Ba8Q5a+ZlJ+Yq1LoZ1hufvLopjoUmr0c1
cFtyb4suI7U8X5Wu2uGTOWiX+tLZwBPj3tznVINto7j7uvBxZmcTj6G7LryF0mgfp/LB8hdGNUVF
t1ooDG165LX7SVcqzDRPeD7ouvNWhNOZINMw07JHZ0MwY4QOihYXGqGGKNaXg63p/GqGdDwXKQpU
acfXfpOefC+XNDMW4dpr71lW+MTUSTHGdbqfVtYnMiKBpo1YzfUECuWwmruh8G7NmGs0xnZeRFnD
7sq8p7Lgvu7eDa/+5vLtwKvOfCsKhhO9+5xQKbHtIpcIltsHGQH5jamYWRStQ4LFJrwUFjeZpaNV
wL8HSVzfylK/yDmbQxj2DbG6mumcZ3i/GsajRZiCXmA/8DT7CdSqf5JjdshdZipHRteig2LpRfmO
6skz6JjbKaqDnj0GNZG7evaHQLfTF9/qLIJjhr+NujIJ/ELu1hR2s1xejbrcWdX4yZoW+ifN8X7s
CBHo6/TBT57D2Sw+IMfpNywMzY3UFwKunklzQXLxBy26ghL2hR5ufIOtbhzBVjifEq10Q+kOvh0u
FYwWsZLOAlHQZmNzHY8au6a47u5myC6kNpaYWdRsJOOK4717DfUNo21SgOju2mY+9Ga0W2xzCsyo
ffMtunpJWtIG3PAj8P43Q35oJzxBg82v2KPKQCuT9clsajakxjJxwLkPaEPnXl8+ikTmgZ7b90UE
4dBZx3Atx2uD7mrdpywQo+6qAhbv2dr4x75232eX+YfSSerMRjrNar27IzvIr7i9MEh4gdtOzal2
W5i7rraRuRUyU1o84d6w0eeFr5jZxmI3XXDPR9+KJrolAzcEVtmLG4py6q0zAPXjxD5Lg4qOVTjy
EA/ENjm+3ag6TZnB/EEeN2tAkjBI91ybNRLMU2t/CBHlj7VAmypGb9EILCRkk7+/lP87nQw2L/98
Ol3q6m+A/OprfpxLUPcphHM5EAw0fkN5U3+cS2g0rFegf9k6qx7oOP87l6Dc6DgGSMdbf474uyri
z52AWpzf2Dj/IuIPxfQv5xJqj4N8CmObQp0/uw27FUF3sAeSuiZ1xhIEGg6p2kukFWhwXRCs14gk
xUajVKkA6R659WURZTeEQ0qza9LbApLJkAqqm2mDcMi/M/5qFqm0wcr8kO55qDjmOtlcsqY+G+KX
aSg16thEbGnlJnc1vzl2VqvTtjPaznwH5J96a6oP451rt5Rjc0IiaRNLtcxDr7SUrht7oDxiZOgC
vjfEWreLBggAlXFpK6eAaoKzdxH3CK/Unuhkf2FpnElRnisZXdE4+oz1VWXQ0BGaptwPzZHde8Ru
AbxY6mTplvcmU/TsThQmo28PdNZskJRfCBrd6mIcNgW3JG0AFNSAUtwAbSUgVXqntlrejbmfg3QY
X/uZFxQwxHOZUuiL0+K2q6tlNzlUlTqDP2xpFegpt13nIO8x/QhomuECiQwooxEKIvpBNjA6T974
rlkzjJQUz0Eb8R6J9Pd5bmpeZ4QAhTyQxCq2pV5cZZ7RbBX4c7C5aWZyuiJACCEkHWkPJ0GloTvw
zsXklVMFpJWkUdqoOVoJa6zZqq8zo74HG7aN3OZMMHybzFlFEgyTlCtDkt5frAX0TEsSqjdZIhc5
SHELK0kTn6yoJPLvORQCYdAw+jlDTKrznbe4GlpCfyk1lIq8aLMraDLE1OOXAWVrywU+3ZsLkV7N
iW9BJXMi+iSaZH8ahzHbSNG+xNAZNiue22XRH/p4Dp25GDfZTIVYld3H4FtS2wxy4rG8/dY0jOyl
2DTI9Ic2j5KtmP1bQdAo9KT5URd6d9DRWLGp1Ne2XvX7xERHMfMn13aey0wS0pU3WtI0W2QpY2MV
cJsVbScryufJ9Yh4A8IU5ptoiAm67NnHqXiYc/tYxRKUS5TAMPISe7tgsuVBNxKyMNAsTB/sTjJN
LxXEjSAz+pc5mp51q3u0OjwTcPD2ND/cZJ291eAFWHb/hTsLDN1qmraDm9ObnutB7ekl+bnhgYLm
nGWNTtPwEh/jzooPspfUFq1vuRd/kjZC3pxC+vW5lZAXp//ZEsPTmAoHUdOiz8JJTppWn4Trf66Q
HzciloQqav2BoMguba3HphN7zeQko0SawLb5oIpcAy9hJjVn7TpOrEvqNtqW/rndnBYvRDxpzdWX
z2W8zgfYtYdhpKuBcA3VFxrSiFkWNcG16i2r0BOXLmXrN6/e2ReLR7xTUPi7tlepw2ZvooY9MnBw
eD5/YEebdkW33Oi69dEWAHrrVl4jNj7V0FtP2HqK0NHnjzz17wH4sE2DEMVJNy+gJpZv04g2OI4F
N/zYsLZM/cihXa/vC5cEbFQMD06EakpVGctJXat5ANJlK5fa3lp1csjj+bOT9FjunKoKZ8dH8JEX
XbO4+M+YmmaogEQjeKB6d7dq4ls7WWfGxcOy1hCNYgM9Wh5dkwBbM+tn0cpx583aGBgDQvBsWMcY
qCDhKF4lupFd9Lw8LdyD6aU/uz7aUxudyyI7Jr18iBL5Dc5HF1RTe7XU0Y2K2zeg0SnRQCwSSeyc
fd6LvBupe2LxGrr1MO2zvH6p6n6hWoy6sAJ/ih0BLZ1i4OXpOD37XT/A2dP4TFcN3zzN32azN/k4
zrucYKii9NVYowxKpRc2YNPH1C6MZTb2rmqxzolTvs0Lv1Hdp/hs6o0wGuvn7/xUs8OdxZIkiXt7
s+QutVemfRRdTfWV9WltxbdR52FA/3tsKKJHhtbNwC76jldEJXeydG/HDFeMGdHbFbOvKorxmtjo
PX/VYBqSmxVe7c62mPWZGqkFK9wrNBKTNak4DnWeYgQjl2lN9oPRRK+J66/7tkg/ygk+UmRNXJam
tTp0+fhEdHTdkkAlHTu3jHL/TUm/9v0ph+0/T0m3xVB+7v56f1df9WNOMgSgdRwhgD4dsoV/0MJg
CEI7chmfGKW+myd/u78rLYz/pIMosk1LR/z63/0dPLvP2AXD6HtJID6XfzMnufzR/qSFsdZUGXzV
j4AJRv33n6zlFlgZKgMW/cbm4c4P+O+MjfRkfsmiYmupus1kfYn4WBksdvdT7L9oYPC4r/NBq+M9
QA5gXvn81PZNEpp1e+eMNX4xAds3pmd5PppzF6wD2F/tjQvvKYp3iRff6JkfX+q087ZEn2kF1Sn8
zjtn2gBPfy9UryXTG7SXyHuj7QA7hqmxsJz6t7WG8WWApTPt8TadevI2GOD47+K8jnzIsBFeiF86
MGKL50oblg2714+0QZ9YjXdPQ+2uhxxNyZgfSm+etvmMJr5oL+2KJ22mJ43AtrcdV/+6cpblrFk5
jSXLiJ8TQXoGUMNZyv8Rbc6OBurmVnybow61A4tiZqT0iURcacqkBTtem19F/movt0nnrJtOECzH
9ONkfhJEbt8GkzktFmVRYi4hR5smNhNKE45tZ/b+Zz21iO+mc8s1vxoT3lGgPplqZYg3FTibBQhU
4KLZIJuqdniv2AkFDDWNscX3qDCiiwKKYhTAjboW7d2ocKM4MeWmUQhSQ4l9ncKSJgpQWipUaSmd
11rBS6chn0JLAU1rpTn2Q4IepXCnkQKfOgqBaioYKsWtIsiIoicKlEr7CYMXZ/AlUhjVyR+6UxKP
7n5WkNWKXogukAq9qiVmtIff+M1QWFaZyGErFaqVCPuXseefj1WYDDnZGDQlCl6qIK+WcD58hX0d
aIQEccCj2sKELQRwWJBxxa1nssTRv6NjtSUNfdS9vaXAsvnY2XuG/49SQWeZoTAjKBAtm+n4xG8O
r77C1Hoqsm0odG0kLH43gmOjUmBb8zvjVneRX0oFvm2WCuIJ9pVNpxL4vae150mhcuMJaK6fJCm4
E/jjDeNvyD8eC+PO/sYUAW0K7i4nrLlX1wkovQrLS5o62bRI41/QU/JNEtHPMSmNNi5baHaNNUK3
V5xfAt8OTlPGVT5z8amlkO4wrUDdw+Q7J3hWyGCuG232rWAuJ/quG3e1jkea0aA799T/tWcy6XCl
5sdC0+OAkBEcRiU51miPGJzirVgjIvpwvsKOlikbpVKL5UuhpMtIiZhJSZ/tqITNTEmcLlqnjuaZ
KfFzoQMS3wWC6DJ4jHoNvD8QHRCssIo5dIzUSkX1B+cjQVYdRLSblM46I7hOSnm1kWCxbpwKq3hV
bOY9hyz8m7JVLxH/wq8CDo7/reZzCv+Soq/Se6So4lYi+dIa4G4qRGAWn18NROGx0MAjtvNtv7be
0UM4Jrv10CEtyO+Kcg/PXCIyj9mSwilOUW2MNUPe5WLllRU6UAcUM7mPBVcXV+nWg1KwbbF+njOm
6QlxO0XkzhG7PURvbQbotigdfFaKeMXDtsEMW22syk+/ZF5VfXLyHgKZOaYb1xpMvLS+daLkElsN
0j6TMSirDhZEKYYqdEx5W0/ag9N1as7J01NcEeWZ67gJ82Xy+CNpCjLWO7tm5p0U1VN8V9IdDRmp
0+6+05BXEUWYt/ihvepizqLU37MyS++LuG0CD/0Nd2CLAJo58UazZ3/fWPoSrlni8dFm8Soid9mr
Xo0w6lIzSGk5CP01Y3Bt7W8QL9Ygt9YjA92NqKh4NLMrm8VkaE7CQANjejVFQ87D6tJd4tqs5aJI
DyxR0wLhzHaQNTakWcofojQ19oapnHcZf9qk5FNrTOxzigo9kju6cvLwlhKqc3lipXRngy9Sfuh4
M6CS7jWkok1WIjNK6JzAY5ldeU0N/406v446Bmuafx51rj83f2P6UV/z+6Bj/CIcWskt1zXwwKp4
1I+FENkSh+WOxzJI/JYt+SFUeL8wdhgmyyBfKNs2X/VDqPB+0W1478CTfit9/FeDjuCP9sdBhxZI
SPLwnnx2TH8RKlrZlZY9GutN03SQSA1EvNbnkWns5UnP5D5KvK/WpEvEwuGLGCJMiDxaYrbO4GUL
bqjakw9NRdjLxV7pZbT7UpWI9Vwu0xsnLXZL5N2KItaR6gYjlJPY57N/mUz7qi7rvRf7hyEzbjKB
8ujBpN+2sXp/OdODY9fDDkveh+ZUYNZ9RObRii+uUiRhqUYbT7JJxkqsPJd7UB9HoQTExvCe3ca8
7YzixvZ79vVtBRfDHIvn3FmAvuXo3bZ/B0XsIZ5oabW54i42rpW4oIp36a2PqY6zy7oODWIVP2ex
x/2qUc5rDvFWc/RDqeViB8y+DYAYJ2HvpwL0b9xADeKgNfAlYQ6GvAoYcpsWNr2RxZcY8p3qlsOX
2u0H2abkvq1sP7NM37ki2dGQcsALTQ9HjyMEyktrFfrRWOozpqz0pGv2KWLLv/VaTCRR7l5NORBl
f3IepJ46xAzafqtVrJVjv7VuSC2DJeMah2CMObWziyOjLmASc2sCl4STGX3qYu8x0zz7mGrmwVqi
D2IE1aa05i100DLobOBkRo1ZWLOsQ53A3ZJ5KR4Xj3uSO9vHsqrmwIqbe+yHh5nF5jaxc0IVK5gf
Rtjo6EwQrHUBgR78xI6a5CFck3Shf4V3kB3nX1u9on9G4toBUKTY06BkVjsnfuGle4hVSaD1OoCe
STUZFarUKHei6ugA1jvE8Km3k+blx4YWpFnVIY2WZW4cw832fW0X8tCCJ4kevMnTTrqTvMdaTTdK
lPuntcGtBB3+2Mr4sRPgoERvHCwNgHPZOxzvgx2O2AO8sarPlddeuq78Vs+IWdY6ncU8vjbdws5h
TZ8HQzKFsYfdjlHzip9WIG+vV0OF1lUKi3Myu1t7byTkT1fNZF9YvPCR0J77SQfrM62HzABn5cTW
jdtRCU7LqJ2yggN5UW/8vNuzHb0qHMpQ4O18WpvoZhT5kz9jAykxSseGZBu19Kz+dJmGLeW8OzrE
P/sivyQxDYFFnIRcxC5V4R96m0KfydXeOdOfam0hpKuBsGBYejfT5nnMvUBT5pHWM/TPY2uHmq69
jRbG7Kn3LubMpR0hM79zcutT34znDuiMu3bnxW4Aw7ABSVfO2NpG/6uNCwChfSFkETauczZnmJ0t
KSPNSO6BRw6bPF1oinnMtdBavHOTUr+DsQZkVdrSvqM9piNm9j4v7jw0FJZU7Vuj9TjgB2qZtfU2
wcSydbgZmBPwpDQLNc05rB0HI2EmSYys87esaDZF4l9o0Dm60Jiod6PNlX91Y+rOo0t5UF6un3xn
7Hc9TG3HO0gmxE2hZQp9La+GaT2iD34x7IaKAl3HWj35mybNHvrC/uJjxQmGmTG3ku4zI0e11cuI
DzHQJ7xvfQgjlUypvxbzvqtAhV5/P2j+k2AMbvX/x4n7MX5+/7szl6/6/cxlucDegGoUwzAdUyHT
fj9zdSwAqk2AdwFrBIItv5sD2CAYDjd+h8ZBldn86cz1+X426CPfo7hFN/7dbsH8i88WhBLVA1Dd
qIPBjqD++0+7hWhIG9NmrL5Jq1tzcRU1fmHd2vtP82pwb10MufGN6spbi3tvsb4sTaFtXZbpxOa4
+C1phyW+909dTlWuYE03a84XLLuXYvCf11U+mRME+iHeSc1hC+G7b0VTNjjvHOqWKRkWRnkFSXni
lTX6AI7N60lgJ6XpydpIJ392YmeFQ4ZjVo8kzFJsNLVhvwK5fY6X9QslK1BScv8wyeEpT/tbLpsw
hpg/he89gH14qus5vo7G/lRPI2ZbrTvrXjYQMBl35Vzzd17ZJqAae8Nx8LAPOX60yexqVyXay8At
zOdMtw3/uvDi3YqzNCDPgUer6vQQ6FzAensnPXxZJvq6bunvCAo3Xa47cOzk8rBCaE7HiDRh0+Hk
nDn/MjPl4LZI91Xw7HzNfivXnC3tFLnhnIriBAbVD+REubyGNxmhKAtwogVsXOzAX5hMJn/ltsve
eGnqcG3tZ3a6BC1jtuYPPs02iNWDXXNJnbmWrE/6NHFjIvoiaYKSvaCRJ8NXdT0vccZxQ2eBFUQ1
SwFJKYPn0LjVLXtRzId1Gh1AospaFAPUEda4/V7OF9n6k+Wi6VPZ/tFQ2VcICIRjv35aLaY1p+PB
AYn51HOZSosPQMQnaRU13rjuuAy00rdutnWy6lAbQguTnPuF7o4XX9TlNl/Mc5KIl8VyTmWDXaG0
l884huWTVXb3cWlxwo/4w6bjgCOWK16E/hShh6XRAV0cu600z8uQ6xtfa9zjomGHW0vvWRtbb+NI
bTf5xl6kI0oe+38vmo6rzxJL1A3tYHFFCIr7GkmlfZrioRTuSj9WtDMHuI8aq4S2HZ7XongpbONb
bapFSiZfhVdfVVH+BHX5jW3A7Zyw9517D31ofe1aoMuCRX40Z+62oDy7mvtTObg8zdn6OmIZrXT5
uWcXgsPujF4CeLJ5c9ibBZE5FducSxtVPsUjx8UTfpURQwHsYeECEJv7sMFpCDP7TRLm2LSDc6FK
8H5NrL0woxd90WZsfcu2HIZPthffE5feuXp1Y1qcjI0AxOWsBsIdqqJ0qitaxa5Z3O3y6j1HFRpG
CNDdFO3rdBIbaspRgNiUpQRLPRHxv7CB4md3QGK6eRs5xucyiqqtLXLqrykjgdpJR9u4PDorQwOm
Yndjtu4jKbuzJ8Xb6iWXwp/vTIM6N5HjlpX+e1SKQ+l7PEYsIcah5AGMHouMdUaUGdRAWg0fKP2R
x/gVf0nCa6G+7lPnrvPNdx+jTphp020dYQcuO135HAwXWjio3MKh2dzDAoLxaC5ul9y/z8lOwa5u
5DEaExFS10fezfG/zFH/OS/kbaSDFo1cOwq6SSBZLtJnrLHPjddZt6uJKZL0dnWHlJo9NJX+NVow
0sT5+rTW9ZW5xl/0SietMCyHMvK1sM+N66QHh03DQ7dbCiI7pKY+6sZd4conOUuAhmxRLznYe5/f
gO/2vIuKdhtZ7dWqu+fe0E/poB/hz923Mb5NMZlHZ7WuAVuc65K/ZYp9CFui2NirZgVLDMEiKbGy
ulbw35H/vWFBhVr++ci/T8ePtkvfP/5GUuALf5z6uvWLhdvOALqAw0EFXX8c+pgyHI51TlqfH4d8
+L9D3/oFtVPFZrkAW1ypCc7+uGibv1gYLzyMfPQF/dt0jf9nQyD5HAc9wePQd1i2O8qY8dOhnxjV
aI+DiWOhlrJxr7RCW6gPQRLoSsDnVpbf+INh5gErOJ2aoWlYsQ0uurtZenJfHgvJm6HGDjWV1J7Y
dkVRSK7R+m101ZlHvXxYzGq6AXzeXFVpX3/t4346GeWUP1j6RNyvzvxq28/uB0hU7nOWF+30rMWc
7cq+/pQI1uWY3BALMS8hyBf73NCnYCWk8YWAI9WhZrreG52TDls/qbAvLRCFhedv1saRwWxkxobd
dklNj5vfluUQPRos9O8HOhCTB5HZeQz+xtXleuT6Rd0sJkjPZA/pVrHBDyQDOfDi4jhvk4AtHlRV
yBrY4Fvd40VYtwYn5uqM4tpxmiws7VRmT1q22uoMzV13OxuOhGXcmsiU9rjIT8iY5tEaKYjDL2cE
7sq7ullOXt+AxqjsJBBj69vnsQHcGhFeZ8vPe4l7lujY+cnRgUqeVqZJ8r/LjlCNudFj47pf9W4E
qzvavJnd7CuNAexYnchcL3Ym+yPwy3S8XzNucktrV6sJWt1yp0vpF0ul7f97I3x/I6iZ/Z/fCDeg
dOO/eR2or/r9dYBzSpmq0PC937TC398H7NAoaDSY9z2b1NtP5BbzFwhfDqEEnj4i8H98H/CaUNE9
vq1iwRj/ZvGm/4lSCJaalmG+P28kZG8aUXiT/fxCkKhnZKNEdGl9HYlwLXLKdAc/OmuzFOfK7dBX
NLEMQP2TUxotb16sw7PiiTPVo0difnLJFhfUPUkTarFoJA14NEsQLnaS+pnEOk+w/v1prtSDTXkh
z/ikHneriNKPHpmBUl31SbDp0IMLUgcVE9Muweolw77o8IUWrTXuZJv5zglbj89KAodFRACKC3xD
RiYDBb6ZqQ/UvJj6MdqkNnYajSBYGCs8HXeMEpU0kwVQMTLVshrHRdbGp2LQb5q1ZosoWLVNd7q5
wnn3D/Cur6y6OILLPc5pRODQoS5gZf+1rbtxIJ5mJVeNRSdIo91mTAH3TeSdUVkZb2MuJqDU9Kuq
q9stFuU8XBx6MVuKGwNXDjdz391oOZTXKUbeWyzuE3WNcoORzWdY6eFwpObSfsvN/iEtxANHQwnO
uuirW03m68W0MKrIZhc3TvJap8zmvYd1Niovo0Ve2qypO+4AmhgNHmqjpgMEo62/mOWD5tjTrvGY
F13Y6EHLcgRHjH9oCkRTvFObaHWdwNCr5GaMQQakDQgAE7dXP2v1vTPhfSaUjjYGutyniqExWKim
2kXHjMzbOUUXbqynzoerxSS8gaDv7di6phuuftt5WAkiNm7zhjbLdlXX2Fii4KHjdBQq/PpO+kcs
2x9POtz1fOA4fh22hFzB2W7/8cHORDIJuiOyawPC+84sJuNzsvB7mshK/4ZA/m8JYv2fE9FvKYni
7xunfpqJiBzzTwDiA0gVfgn1pvvxEkR9gNPCFoSZCV1Cka1+qA+8OTGJmgKr6Hd7BguKH0MRMQlc
GwaZC2EClOGF+y9sFuQqeBb+EDn2BFsV4TG4kciw1B/i55egq8c6hcp2fWN4fMr5HKgNxbKEM7aC
jTHHOoz4fFeYy7EqaQPc+FXyVvruqRzTnef3+7pA1hzkMbO1m1Ujv0V5yLbI3PqqSN36hpL750VY
r57fiIDk4bLxtD4cl/zRaQniip4ygDwGn19n7t0cc33YwI9qRFjwWINSsCcR6rO4Zm09BgSMxn1C
d/g2tz0QW6Kn9lmnQSYDuKDHS6B7cbhGdbrx8R4eBmcqAw1c0byovoKFfQCdk6DXlV10HMXTqNPM
ly3hZAAo730STY5AHsUP+tXh77ltFMhB+hH8oJGbvJgnTBRV9tVPfS9cItxeFE+rvXhyBOwRHYsm
c7ainMO6Qg8RtACcbVubrqKUSxiYLsDXbfaUypJzpSC2AHnppubmbSuZd1qtXe8Mj20q0ZVz+YSz
96YhzAFre7qywE3sTBkNm6iphqDSYOBPlpBbv+V3msvh0tBnyCKhppN1pFCltU92ZeCtHO99xFUQ
6JlNYYB+cE325Uuevo+6eYmr9Xo1yhGzI5v7IWtfi17bRkOt1sPNFZkrpAPBKQQNeautc09wFGBB
VwNKafrMDAqDqHjv3OXRAlMef1cAXyKUVuntJq3+Kg2DajDRcb/GtCG1PeEa1vLpjV4MZ9OkNQou
4FmOPDPR0N3K1CGfmvOrEeMyhJYq16rwN2fDXkrz4toJfeE+TDCSFvUh12H8N9q+zbTbfK67y5rz
drex4m0Hz7k3HOPik6AO2wUeqlWSVTNy/H5mvfJStvouzEhCbwrCh13cPc6s9HdjVl1iK/q0yHHZ
FQQA4850ArsXz5aUn+i4pCCjyChp7B2aHuI7vA9X+kwhRDxfy85/b52pCUqCGpxJzjGWKWF7x77q
h+4mpXxBu6trt1g/lhmIGHiMwM+bZ9wlErcO23y295eK9pFT1vtvdS7ue7sleLFsW1romzUmH+0E
TTed/F7btcI410Vyndb1ac6666oubscqzwOkqwE1ewDjFtnfVkcbsk02mbS3DwD8kfzH9cFw1kss
Wwx/VOvs4tTGKm46/Fwqlot2PyEqhCx2sHCYt6391mHIoOzJf6p8KtEzYO4GnuGyt49TAt6iWW+H
1ThEI57VxR7ueNnRMNEHBnt7dlScgZGMbs2uv2Lqqze515/rIb13dXcbLfHD2jDBOC2ug2ROgWO0
LPKtEl+rH+vmjoM03ZkAXzlL8dvS/rYxjMTDgos/RBt4cqpGz1gnGTRGg7vF5vnqWtW3uhXvpQeB
iFnmea3oMYFvhq+hsQJQMSwRVDaG3NAX6nyiKwTXS6ryM4sQt6VK1LCr0m/wCXyYKm0jiN0MKn9T
OvM95igK3ojm0Fe2o0X2dSGy4xHd8VWGp1RpHk/lema895VK+uREfhpv2Y9EgETT3vpEgoRDmajK
CNmEhTKVGsKEe8Cu7p9cAkXeEAX8ZOqlfOtRV5mjRKWPVpVDalQiSWrGZVYZJZewkk1oCU9suq1U
jskFyGKoZBNlltwJCTvxdwWkkHfW1k/l50QlonqVjXIISemEpWL/a8oGrSNClasslcFH0FDpqp6Y
VdkbO6FyV5FKYDUqizWqVNY0ZvtE5bRSldhaiG6lfDtPZblsm/mScFeSEWumcmw8Wyr5xT8oGTBK
W2YabYmZJwGeXT0YvOrgf0+OQWQizc9WTQtyj50o3kBFl/okujU98jqmBN0iMmrNOy2RDwbpNEfF
1OLEGVgjE13zybDlBuKi1pn7VsXbRilh0hJ4o+7wYSABx32fAmATPAZyop0315MKyzWk5uJ+vhfk
f6l7WnY2ubqafB0S3ESx2zLsJrJ3uT+Q+HXduzKhAnwtuFz+d5/8dcPEvuWf75PMU/9v86HWIn+z
YuIrf9wpca2yv8F7ipdDbZKYtH4fp3TMHBaJGhc5FQAbwZ8f45Tzi9KNGLZ+OFN/mqbow2Zehs2H
80JFgv7FNEVbwZ+nKdp1oFR7ZI+Qr/DD/nGa6obFtlFxtWvXBk5RUCJMy/ymKhymFb2vYVsuVGda
5pb95J0azMiJMGNMMn+Zlr4O0CiOa0vcgMtHtkW7qjfGtESBlN4UpF33hd3Tc53NnxohLwvbFe4s
Hp3SRRtSLcVsADDGb/elTh4HwMI9SyH6XqT5lQvKdnSpklMFVT5cyw0FdTbJv/ZFzO632aIBOpua
h9LInly95FqWr9TAayxpS1++WkMzBKnO2ZYTC8jihmREre1gxJGn0zgwco1yq8ik228oT8nqTmmA
PozDfsJfG0Sz9akpRm25w5DpjbuCmCuv2Lrr68eBXpMGFUm3gLGRBuI66O8aHRl47JYyNAS4Twm9
fqQBc5Nr2e2QwYv24QGUNdC3QWTvvctOjVT5Jko9e2P218X4ZHT0B6Hq+Vu8nlQwLvWDO9N2qZfG
p6zoaMPzWyNc4F9tu3o8O1HXnaSovkgjoRyuKhIqjSgS4txzSsu4k9+HVIxiAZeoR0GfY+5i4YUw
JQI0otfKqp/xRdbcqOf6SlSEGTTXDysXgTCmoI4pudO7fdkmu4LpebajV6ZyRIycybrmKBgqSxz1
Af0h4e8dIqwZaAsQSYR6x/DnefHiPj2NKhtMpIEyapUXjiazvIk88Vh4BdJew1ve571llWmPRjHJ
FJ6pZhRhC0MfTND0/9k7r946rjZL/5XB3JdROQDTc3FyPiQPo24KJEVWzrUr/fp5tvRZpiRbbgPd
QA/w3VmWyBOr9hvWepZ7nPTxmrspyx+brKE4LdxlXaqXoBuv/aomYbA2zlXgrZRBB3NqX1uxs/XT
aZ10MD5VDJddG9y2bnYevG6tDzrFp9pxXPPJM7UMY0tsyex+sJziFnjEuu/de1xIwcyrOaFEcEv8
16Huo0udiceo1TbagA2GAV45t9n9S0bIeuh6a6VquFHI9DvYhEvt+chj+KXxW4wCsqt5bgp57ksq
Y+huOujPCUHmZH3Sa3TAEoXbivQ4Bf4NKVvldrTa4GAoJJyK/iVXmmXW3NYCFAurl+sgjKmpOoC9
0662tXvVi3vMwfG6ieoNZh4Upyi3oyb5lAni2BQHUWOL9sSoykVYBshYFFxb1dg/e74GOyJjZGtP
LHS7MzCgB13v90WjYFEdkLpaL0ap2oRixZcpCM+9Zj5UNeGnlnafVqq2VPVxVUGGmEeJcvJVbx1n
OfRUNKoQjl46KDgIGKlWAtbV6Kn2aco/g3/St6Jl8ppt3UAcujbf8y8nejjDYLFqkUXt9qm+0iLs
KPak5NlNiD0SapsdPMWRvswtZh21pb5PSrNJou6p8Xp2ht0SqdE6NtxPLUiGTGA7I8tpwRZ2jtl6
Uwfl4+hIYXIG0rg37YOrixtXqzjbB3Z4dW08RqLe9k1NlGfn43I0r4042DqOca2jPJ2PU3e0OqzD
g5WDWkEL69Xlhsy0deQmD9QOh0Bt7py8VKk6KYdDc6GX6TFE0Jmo4iHJzEsd8VlkZfdqZnIXXx/x
3Z2hwIhtMDLFJ950k+rVHq7MDV+SXSFgEoU1RDkfWZNDHSjwDWZ6tWB7mK66Rr0q0h7MnrZXEIjO
ql7ZmqO5UWu6s7raZlO/6TtW0lNyIBAS3tt03XYJQ6WsOhpGvR9KvrIuFICsSe98Nf+UwNwzK2vb
1uZbY5Y75OhbzQjvuya6WG5zyz4lRYHsrzorRCTjviSkB2uZwH2XFVtfx3PU5rt80rnCtP4YFsk+
IoZ4SI2LJz2R6FpmWlGp8xiIpklXnpfl2YLPGznu+79rk6+zbqYef12bXKXPr2/1z3WJDDD6UJeo
zHJwWNjWvxZcH+oShjmoXWwIoUydmZD/XpfAjNVA9uKzAUT8BXnxrTCRhmRkpsSB61/8Od4/Kkx+
yDCUlHKClch/QEBD10Vx8n1h0o09MjKWICRWd7REbfJQdOONU3TdMvWCc6ZV8Svj1HwWjcYtNjSk
ExBiLq7TvyuhutJtHBWTQf8TuHADANXNMgcRNvFZL3WA5nBIZVcg8hv2VgEylMJf9xBq3AwHYFg6
L8KILnY3PYTI++Z6ivVNL835UIQZxIRyZ5RIXzNHeuq8fDWl+oXHWvQtV3CN4QzbHqi72KUmYgN1
hAJzZ9pwG/Mk+Bw37tGs/WvVHM5h0GwKh1OV9fu1zkZthbMI16rZXQ26U2DG0e2ZoyPFzogXZktO
ojeor0owvDeZVJBBttEwOay8FoI4yhoXhERpLI2ERgMfLUdBxoC8NG/JVJ51+IOEYSwFpk1cG1YE
Im7cThq86jZHpo6z8t7yPsNOhTwySAnjzunaR6FO0byMm2FmGiSiixF1j90RwmkN41unUjNqzsox
FIcpVngfaAz0wa3POeEBjuK+RuSHZNE595FzkqLLoKjvC8V6EWLcO0WyVhLCwA2KpkbbCj+51llL
gmm1b1zeIZ/6YaYU9apP01Ntejd2pL4kw6TOBpXe3lJlD+X0d5luPsWud2KODsO8A9lWCq2ZeYOz
h515q6RGzkmi3kddDLgoj/eT4d/Rx59KdvJBnZA/laZvphJ+GjrltjTEYQiHm9azV6qtPAolfsXi
i8aIEmtelxBJJ1mJkP377ozjRRV0m5XpHfmYDj2ppOw/Fr75rpWEr+q8HLmbLR1J4zCjSxHGWJdc
BnSBs55iAk/rvPhk5PaTAc5zno/DM6Q0vl/YTWbg5xJUO8VB69LPPt9IrzYyAKIFoxB7J+xxU9jt
504BGKWHhgzYA4ASkaPnV/jQ+xYjbzcsEDTii1HGeKGEwp2NhivXlsl93PImTUicZhailZmZ6Tet
XS49wG14+Gtv2bR5idWsD066KO6H5imttgbX3BN5eyTIVtiVA7YHU2visx3D67Gvva2fcGgVTjNw
f2eUp4renItKIzhFmp8ipXxHKdx6B0TiLcKM0Gem2WZJNd11XxRRVje4aJUC/E+X3Ddo/pXAuI/M
uFiaKKpU8CyUyiZOMnhunlRduTHrmtxbYz1HkAVIc9H2dbqLStNZZp2vLcveeCo6ixZYKnHSkK90
3rcQ5ZGZRpZlzJUoWwSuN1xcLCCzIgzPQzh9lnuWqArcRcQ4U0VJRsFLrzEQlpnbbkjTH6xSxzkN
JhQsdGgTFVSELi10wZS0KNUAbWwJuJrV6gjJp7hKI7EqpXqJymVflA3zJlRvZpgHpxQdXGLaF95d
bY2d5dTEqJRQzHko52pCWOeB3780tnlfFMZjpsIA0lHbxanBQruaphVE4nsL6g0SbnSr0LpPvZTr
5VK4l4TpQUXJx//V50ytqBRaC4Escj+9Upa1kbyP6ADL2Lkvq+jIEu+lbiaIP5lztlEO2qJQSQJn
emYgemN4glRY9bUXdYhvCFo+8OEhQYynnqmNc5d1cKKn1GBU3LtQ1Uh2p4wz4eogiouZtxQtF9PI
pecgi2lCfdtInUyEYAaeAaIxbUc9vQfZeUiksgZBRsvg0w7lVBrISwQnVDhuDP9Em0CxtW9KOLWr
wqsIPRUenrFSPeVSzdNJXY+OwIfi+hnE3yFE+KNIBRBYlVdFaoLGchjmdd9vysZEzT4iaHCC6rUv
4DgqUjuPZOcucu19WJavcBjbeaCr2S3i7o2S63eOLrK5jw8QphqEGUGD5fqs0ux+62Slv/BtQRIB
p0PZYmfu0TtnKd+1JhOs6FI1ABpeq9IXyfItX7J6blbA6hrvk57BR/4aDvzv7ZfJTvGvK6IL7U40
FuLnmkj+3LeaCBsxxzC7emmlISflw6zGoLxh62Qxe2EFL3Ol/lUTmbh12MdbKjxDyGKoBL6tvjAf
45AhnxmCPYcRX9J/UhMBWv5xWGPi1XQw4KItQoZgIzf+uPqCXA+po7aLq6FWnVXemT22QJMkIrPf
hE5NTNuIjlKovXrmRah7Nc1AMtqRk2xTVy0eIxjcRyhoDAQNo7rEwjY31iCaU5/45eey9bO1k6Iu
DVOHHoXRJ8e+p/QwxTRluGrqrD1XMbnYimq3K41oeTbZvpYuptzPT0lQeriCwxt2BcAgNU3Z6UHY
ryfXzu5ad7SeyNmoL71uiWPbhM6WxOOimjlCSVaaNRb3hlBbAj4a/a2wRPoINSbfBFZDgkzpN88d
Iq0l/Sn6y9rr106MQEmEXXndw1tK6ThZCgTloqNDpY9VcrN7LRroE3sN1sg4rNoiEWsNkLDyZgZe
HJ7onkQFcL7J67MTAh91Am0IL2HskRdMTjWm45Z5dn9yMcraHNUmd1asnb3r5LO0K3tlYelBGu1t
JWc6FYl0fIk7vWICxDzIq/zhye5T43kEyVgQFm3nK6a+1m7kyL60fTE9ywUni0Q9UjG7osiNAhy1
ftkFL3yTormaT9Oz34TTmx0Nj7VSrfIg2imyiMg0u5v3Fq2nUvYBtCpNjOtkdKlktHY8JMVQsgPy
EvBrWcGgK+qDaNVkLYhdVlcYipLqwYRTuU097c5IqnBTKmBJQhXkvYUtiOqksS8uaevbVkFkzvDO
Pg1epS4yXdLV9dYqbv1Gzd6aLvVeFKdXdvBnIegP2RkZk7Ko225Ydwp4N+DiVdUuBj8q3x2lQFtc
+jlGcLfZYv+0PwUoJheT58R3A3zdgwOV/Ei0XQzx1MF7MjFRaRIgGZMYlD1fXjxVDqq1OKj9R3fK
+rs8rgGnFUN0UaKhvAo7zoucCSpQf9PsyFtoEG10CMvaZTNYzSKoRzxfAch+FFn6G2YO8C2MHYbe
uAa652JVK2ztrSzKaVVFKjVk2UjkPJO6f3enXyfnqCV/cS9mcr5CjfUaNa9/Njznh7/dkBEcIEVw
TdpBmzhF+tdvTarxGxZIBs5/kNF/b1IJKdE9hzvuHz/1uxYBVScZW5aLQ/Kfo7GYz3+vRODhOS8Q
SshfimX++9uxlaqqG/v1dJ7ah8r1ofy1X78hf6mLkb/hD62Da6n8VtVVHU4jT+ch5DP4oADFu2WX
Q2lo52ZQqCBXJClhk//cdZsPHwDznzEo8o9ZPN+/kp8fR+pzPjwOaNMSe6EFuoL1nlYfeufzrx8A
v8uvX8kPe4YA9ACxTLwSfXBmnXnn4DxXxrmnIGHtlmjy5k33VIqNiK5akFta9BaHqyC40ovrNsd0
iXge4LkV4MajNzSvRXzpWV0OZIr8+plKz84v33NO+o/vhREpPq2DfC+MpS/tFuWD6HDba+a5l7IE
1ATRyJ0MuAf/6drR133aX37mssr46Qkw+bBslY8fuP4PYqgc0V7bqc54BuhIDonm1ekhwfmLQb00
q3LuYXwV29gFJTY0pMb0NxqVMT1tgZ9RVaZ5jYWEaQXyWElK3vVeC0khzciAMXa9rzaM4JRYuxuM
LF4biQdHyiekJCfQrbbrbcmWQO+qFQcJo/NxHU7nziagLaCtQEsMO2pdw8rK9Ct/ioGqPTaMA5Aj
4A09Gm0K5chedKi2dCLkOOHwouA3j8tFYt3CzKro9FmyILuNRm0uNAGHJ1v2hGJVj00M0VLB5NPn
e4IDruP4GJNs1eV6cZdZwLqMyVgW3m1rQk6nfYilY92KAnNhRhXUfhdDfZGkT2jyZlmGfs2z/GaR
BObfJKNKCM2HT0jOpr678GUJ+fEr0kdI1dqhmc7q2tj42+nQPhhrd1ufm5l2aDfVHNr+wpuPK2O+
q3cZCZHDk7JFCbJW1/YxWsVfi/q//sp893x+vnxl3fjh8jXTVDiZ/MoWybagougXIKQxPKl/czv6
s2/mx9vRDzc8N8qmNGT0f1aogG6Hz1UwR9oNo8X2/+Yi+EHl9fUlfbwIfhj/eXweteFF+jlk9YhY
Btsk6qNZjwYGbc8ZefevL/s/uwOiTcP75noeivsfPlKCHSB0poZ+7mPiX6eXTrn69QP82Q3w4wP8
8N6xYHPyLtD1c9MtJI+nV+bs4v7mVfzdg/xwl/UGQPYj89Sz1+2natfat7r96dev48+OpI+v44fb
48hZjRLV0s/wLBmi4j200WudPBysXx7ov7pTPUavddEU7+3/kb/5tSjHOgrC9v9+/8fm65+Dt2Lx
3D5/94dl3rJFuhZv9Xjz1oiUH/164cl/+Z/9y//19uW33I7l23/87+fP4I9Zbrd19NrqP7ec0t35
6/JoVzxX4s9yRuWPfiuO6C5lxDTmEGSQsrn8ozjSfqOFxezgGBRCX7Ldfi+OyBmlRtMdA4KEbn3R
I/xRHJkk/X39ZV/cML+/E1dfKwjexL+8JRGj9d1NiZskRZZnyu2CaUjz7A/HGITrbBjMsT6PCmpj
pkxwKhmA526MGx8yfGRyKwyd8GRb9ZohuXVdYfaaTYF6Y/jmTVKLtwKB+mwYwm3cdfvQ0VYdY9mE
bAGlm3Zprh3cXFtMOgOZzhzwvBoHcr4BLIvshOVn5QfOoQmVVTEq17D975wxf7BQBLp+9eaCY8Im
ghQypxEtFqECE98Oja3lhvc0CHPFVK/HJD2JMVp0nnoamISzqh7YlU1rq9bmhJveWRC0FV7RMq37
Fy9qjz70n7Y2PhlBuu5aGRRir1rD23dmdfLD8OQVQIXg+gZheRI6y4OiOrIcfnBMACyadvLQRioJ
KlQtPkngfCfwmDbTIlS7Jy9qrsJQHIN+nHegnsxeLI3UJs8GiI333tSeviQSR8xDIXaT5z6TKQKq
1HyI426r0Ed3VgMQb4LvEi+ykjSNsr6MzYiDfojOxKKx2IBfHNt3VpNtprG5ydz2hVibk+LmJ/w3
h87ONtYkdlk9bkQF0iGgpYtLAJmQQwm+MgLzxgkdfMNKuWkd4rXNtD8mwoEoPLLS9JNnozBvvNKe
h9gTZhxbZ6G0h0CXgsRuW0/5vHGUm9gbtprq36PMRR1CMAN5bLMqhNkJYgzPqloR1VUdIzftmXlW
w3U6Ij4rIvvZ6RCTlNWwdktLzIOhZJ0NECrrhxf6PQ+tbh2o1bIZvZ6xYePW8QaPU7htC1ADZ3Oa
hojli50b667O4QuQP7boBjpVpVDXRUVSgeKWN0nRlrvcJtWvqZh9E+NjHAdr6hbdiLAvBd+O3COA
xmxM8Y2u6fiiaCPZ6ROMhF8YMIm75CWRq0pgH8E5wpnBAcc/4aoxwtbeRJmYW4uGQUFkjhVKX+6u
vgHychIEZ1BGYcoImjs6dRXWNAVbnJIx6o4wc+P33iIowVP0W0X3XwvXWGAIP0+6tTLrBM1n0qPu
QwCR+m9Svgkj6EFBARAfa9ESoDqa8MNgYQMZD5ZRVlxD9b7vBWq/smvamY8uac7mOYE3ZL7AhCfy
A6LtrGwq0o9M7xTVMmN1iD97CsKzzmQ22nVgDxLdfWNC9Ckf9TvLst94/tC+CpWIoNFIF0bJRh5U
EXOLPAYlk1Bqdyy3EHcuDDcCcZ3tYCncm8P4Lhx1F3vuDu4mTFFFLDkQ7qNJJ30irU6j31errMNC
ogvFPhapf8nLkAAI0BhLPeyMhTAJfOy1/LHHC7ZoquyzUshlzEC2kQPFbxUnw9ZX0nWssvL3pg5U
HvCMtB3Okeq8AEp6GcwOfOaAIBY908awWbA7YQphpFYYp+srMgqRWBj62i/0x7aKWBfpcsEFOSUQ
DUV09DgGOMw9xXyN/Cpb2HD6yIF7UUS9aHRcOIOvLqrcfzACGBoj/JRJF9A/iBQ2hKKzEGXcN9Xl
bYigZqHGUgAPVRaanv9ogHFDWeU7fL+MFbgdBvNezyUaJSNQES7Luncbnp7xnqnYszs/kFZ0SvIE
PWyfVdsommyeW7fDQnseMiTm4yQAeRnIZ1XMsd19rqo7RiIT6AuMPRGLJeaOwyEJ1UsftHsrD2+1
0QEVSi5GDq595pq9sbAH5RABLMEJmNzVIcrICAnQgiwS+KphmOSrumdoN1cKsjYhH6tQbrtwa7Yg
r9KO/Dyiq9bqxKx8zKEz501WrAgYAGswXpdZwwxPG9LrqKBf+28pRtZvxemZodf3xcf/5FpEplD8
dS3yhBni5/pF/sy3IoRKg/G39GFojLktqoBvExodN6yucv47REPzn99G5obLhMYC7wMgg8hYQFff
Rub8laFRL7jU4RDM5Qz+h6rjV1UIYKwfqxDqDBuXrpRMAubzeBIfW6O2Zjyc6vFwZrqtzEoX/4Rf
37Y6+7FYRxo0wdsDHKOlZ73NsksjfJY6qsYgYvLpvbmFBUgDYImbxsmgyMHjRnj56MSorJnBtrrK
WqjqXjzRl7fFKJfwVTpceUFQzrMsd+ae8Itbs+mONbpAsts4hqOwOGcBq92+J4pRCxCOC+zEy4A9
5aLRtLtsAo+UpoYAZwj5EIWaMbq3AYC91WDGtFtdGZ1TUp/nbIs+MY3vNx6yNSQ30V1l9gVpuWO+
aif44RCVB06YVD9HGvbdQW29TVUA3Al6lAVtxvykL3GpIszBWZYzwQoC57FoIHibJZvyXGQHQYxc
4ilPPYINbtmYeUFEkqVV7lRhIisM1KUedLukVvbUJWzYtWMBTR1CUoEWzRYQOZPwk9WZz3CRh1nR
Fw8B+lGcrpB+wgAVaBBdWrOhcksVe2bkyOztINgkU1dtFDt7MwJsz0Nu7+wazUM7kc7nWTGbPsWC
gerTDObWBC86jeeeXV4KxT+ZTOPdKdoYkqpqlsZnf2yulAYKeOKi36vbSQUs5p6MycMq6E8nq+Aj
bcthgTCOLDTjRTfqh6lPXhW/REYRwiZMhzP4D9zPpcZWHaHXTOn1raU7FmE/sFlBup5xhwNnyUzy
/+xDMWTI/h0DwKsWPpXBdI3qZh9XKNCUYVLgKFPw8v0YAAlViXs2RjU2XlS0K+PWaWGFchrt8QNN
BIJpRP+mFn09ks43pSFUVLikiyjjymbTP/MRJ5D5le6YGdUwl7Hs6Zl2QEdMQdKBSPclGyuQlKwR
XJZbUfviDtBvavS/UEcIbie2BftLSTaxJG6hDIEajgdTlTQuO0FwkUtClzLC6gosFDS95HepfFPR
i96kkuzVReZ2kKyvUlK/csn/8gGBaZIIRlprP2Oamy10v59PkhtmABAbR8CPkiiWWNZtDWJMl6wx
B+iYA3zMlBSyHhETFZyAYAOiTHFhlTntCKiC8mdeSpLZAFGlk2wzv7UOcMiZkUnumQoArWY1tNNA
olWSjVYVEZ9Si0fVeGw0/6z0wYoNwwAPN1q3XwhrXlavGwldI6Vq4UJhC6GxuUXJpc5lUpbOwBub
fQINsYP9X24TBdp7GmnaOcQnu/AFGzBoM8GOrFdSAVz/1FXQwnHDLnWQnkAYO77nWKs4oYdrfOI4
UHA37CoSoWcCcs5GrVqI5k1hrsfA9xaqUjXbssr3Qag6yzEQxq6xg2lXxZqyNtHRLYuqvLYV0rum
ZNwpavBYKplxpcfRMOful2yVyPTm8Ft2CjqAYAh8ks7Kp8qJg/cmx9ITchlfO3H8NsVTq8/YnbT1
f08z///f+Wly4P31+XkJn5v2+ecTVP7UhxPUQNKP1I0dsvcFL/XtBDUAQXJosYtWCVGVVvXfl87a
byCt8T/KbCrVxVn57QRl6YwslwPPpcf/SrX4Byeo9fOw0+T8drE2YWLQHc7k709QXT44YZopREYH
lZBJ+aoRU4c2HzpdpZxJECVhiSi7JNW5zEeQaIRkLF2YB7RO7hvGqSOyj1tTJuLB0IGcKFPymoDY
JtfYuKlAI+MvIbxuepxtGaREhmPkFxjaU2ORTSkT+AgbZ3mHEciJj2Mr3hyi+no6Q5Ls8AYS4lcN
5isL+nVAgurMaAoUQ1EmNjHRf+Rl7huiAAFSrSYd7JtRw6MhLNBmruz03anXSREcazNi1q0/p+xZ
dFV9pOW2Vo7vi3kpUwhrKDlzj+kAfNlmxxgBPj+JIa0MLzTiZRLGF/BV5RwFc7/suLRz/AGzhuhD
YqJh5fDk9pQo+nySCYlKzmKecKOzZ6SfoTiX61FnKBgFOL6U0b8lFYOMHzEsVJm+mDfxMZF5jFGg
J0CQy3SORJHR+lCMQIPdJVSPXSgTHQOiHfHgKbuMsEfhFtehTH/MXW+nfcmDtNqjR0BkheEOZdN1
NETKUsgMyTHrKazddxb9PcS9/HoIsdOaBE/GBFCShaKw7iCTEmxvNh9t43YirpKo0EUv8ysRP6Mv
J9KSMpHzTX0HaGVvoAEhf5b5lyF3LBBAxrUgGjOMef6BTMucZG6mXZoYXwuW0jJTk9iYt4KQTYWE
9T6Anhg1GNVlBqdKGGeksvEYZT5nkYePBGXecOsn+tVlfT9RLlG7EKcu8z3bEQxXLzM/ESF5WLfI
Ac0KcS4K98EiINSRSaGJzAxVCQ/VCBEl9fFQR160JVrUBSFAx2vqgJo9mT6aKeSQxgSS+kZxIoHj
UEWWQ14ZLUdAeKkaF09VXEVEckseU1QvBtRatgw67TusCxrZp5WmXulkoZZWj4RU8/d1ILZNXt4J
pVsXTY5QuljhaoF+lEXNPGg6DzFQj9FQxq66avc4yRzWjukXuax9VBL9IqNac7s4E43xYI3OVVH1
7TzxuotLumur7qrp1HZHn9zXUfW2wZCfNfJgdXJhU2s6K8KmGh1xRcjcOCFwocowWX3CV20TbsYX
NPLntgKgntQf3nJ+aZ5Z5dy19YzjX9iLTO3ew2RIFkNmOBJjyqWaNC8DXV9Pxq0TD2JbsMzHLOt5
axAq21AjEnf6ko6LzjOaubk3rBWChJaWjNEFG96vPBmtW2OtCWTYbiFjd7PO/Cys1lwJEnkLo3us
SOhFnREvCxnaGxj91SjwEwOsoF1u7XbJ7YiUX0vker1Hp9HuufdIJH3JUGyomKDkWbu18iy2V4Yo
besOSqbrrkNyhtaCCBuupSqHEe0M9bR0BezWpZsr5oCCAgrvhlEqgIzasKbohD9hFBdPzbT20nu1
YuzFIIp9T4EbPkLD17tz0pabIsCkWMYj6UNmYq6iyApmFQRsSrubBivSvE2GnWnmYlUrNSMsxd5b
zoAvCbE2vGz7lcK9mSWtjSg0Nh8TBbp+KGs7DR3Fzij4Mic5RQf/HFKFVXwqffMZc5C+aF1Wa8ZE
LIgXYtDEKoSrttdnqgoxpG5rOppkOI6kegyRF6/wKB/NvL5WfLHP3OITNlmMFgbJebT5De52HLRW
Om+MYReOqDiQqpJu9BwlYCekfazVAWTDAqDfafuLqscnv/EOSjw+paH+PmkqvyWw3pMuY45Aps+0
08cBLZ9VA2evbxLp5FeBYw3DYsAyEjpHNUkhHg3Fcx9M2xDbAgDDwSYGeULfpGcn25EaYssjhlBR
ruEb6IvesaYFAd/HSR33njX4c96FcuPkWJObQm3XhtlxbwdU5niRA6CPyXHuK7dtspis4EGvsVy5
ZuwzGiZQ0U28ngdn6CLFmHQNTMEGyRNkDEz60kBHN5Q9QSr9gSZTn7kuY7BAc85Rnx8xhELUAMTq
5ezvs4ZgtvbZ9vpxCRH/MhJ7SHwc4nSfxFG89eLOF9D9RZ8/0J/vYoVYH0dMj6LywhVXncl3YILT
p+rKvC7at8bz7rhBr9SSRXEWypQtY2PExR2kwLUSOcMcfOq26o2rjuGlZxUvEQfdTHPUk6m2e5p6
f45g2mcKr9Vg4eptIBPbx7YPZlgG41mYJFvPGt1ZF+Rz4qOqdWNF/Twym3MSiSsqkVWut/ddxrwO
MdHcFDpfQGEOy0SFNaNqMso88Z019PtwTth6sbCTbp0rira2sUZvEVp58yZMz2rZxDPXaXfEPpE/
aWMtboa7FEfVciw4BLllrZSIpFyl1/Zp7tlztDxMdbnSkD7pV7YGelZpWBu0uZptJx34ZYdGDcFz
5c9jB7qTGV2FIr5XVNLDmN0j+Ix8bnBWv5kynUvCcq/0upuY0jJYs4vhlb36g2FV5yZ3XifTeB1s
dYUi6LFIgkcA8vaihSPtZ+WjWrgbw0Ti5up7IybySB+TuZqGe73un4mQXgsHuVEy7QA7X6N6YizX
qpfclDdxxWKSTdzvv8dWXxVGv/S/SG/u8Rkk38+Vt/HRAoNy09VYUbGdcimVP6qLdMiuJDpYjgdj
0ZHl9e8LNOc3AqwohFH9QHhlVfyt8jYcKUlCsGH9F6mLPJ2in/kBFmFd/WED3oheVJk99me1uKoD
czniKvjQi/xrZ/dR9cMz/SBjkDt2MPHs5yxeofTz/LDKJRMiMYQjxLkx413kcEmcPeu6oWH3ryiL
Qaf++vFQqf7NI8pn9EGooNOyR8y2xDnGdTFzvwR2jo0M7yyCornu68Ldda1VQh1HPt/YKzsmpAUp
pW/hD2idZSxTQcEV6FtbIhHonM2F1hBva7jhwYKbkEuAQglJoVOSdw+yQg5hoZCoBQd2OoTUWvor
ADEY3HdwmQJnyCSmwUxs2n7ADZblGMCaomLtj0M+p0ImiFuiHnICP2aA8C5KTzIYNAiXpaQn8RBO
1B0UeBHQUWBM+DgrKMMW5gibwe6vfYDvMx9eelFoVx36eYaY21zF4pvApSjwsAhDuaslsKLLP3Xw
KwY4Fp0EWmgEXEUQLkxi3MMI5EVoF/1KKcFg+OF4LIQzXZxW9ZhnwVPILwVhHBsbiVCs5dWmskOl
vZ6+aIZEVnNEpUhhWnT1JwJ4rI3ZtNMiE0aFgc892DapG2Z2wJG7HZIexJh/UtTkNE72g5ZS/lWK
ZHkZFGZ69Gpa6udUKaxlb5nHoTR3mFwWXVIeWr9f4uvZUtpdqViVcr/iEB4P/TgchFsTKDtlKvOj
ft906kMF3t80cV1n+XRH/GMwI+I9OUUiv8qTFrR5f0qmZKcWtBdDaascfDWpFAN3bVhnFDHUUk3s
3FXtiCeX0cdKz0oIwaJvAYroRC5F1XhICWlbNdyU04ytVH82Q/emEbVGNi+hA2FYr7Qy2/lpdCVy
5dJ3uDewU87IbFu6kTdzsvazE2Jv1Oz4Wg/6pScygW9EW5COgBBpvG6pm2eSjGH35rqvu5Vq+ovW
xnKmqYuiKC7Adq4yvyKnccC426ZJdzOM4Q3Yxi1usQVRtY+0x/PBserbUqXSYoj3nmMEg9K4Bs2M
6wuRlQkcHjPPm9oH+5ziuzI1xrCOt9UpYueGES2JwKPNCq5gDx1NKwZOngEEtpapk8/F4O+bptgQ
JE+73gJwU04EPCx0DKPcKK5H7Nr40ZlqGqa/qjzj3qwbnG9KRp4QTvbcSsdN0jOQq1PgIOyxGOAp
u6SZbpkWh7MxbVn+FZe4I8Uo7vha+0h1hKs/eyJ+jh33WFRpPBtiAhQw2I7k+PTZ3PI7d/PvQ+/L
oWdxO/3rWdM9EhRR/8mwSf7Y78Mmzf0NuLnOMkTV0I58zFAja5bvCkeXRVTI19Pw9yPP/A1nP+NN
0/Rk+IhkWPyuGTF+A1Gh2xig5ckn/+qfDJu+Ox44iGQcGyZSjlfN8uAffH88DKoSdHWdi9NE4VRR
awdY0iI3+zqM/EttCofyzw9koXOBymjjV0Vl+f0DaQSeVzaM4pMqLO+OzA2SkTKCvKYNcFeLFPE2
F+a2afzpgqeb0YWN7z12neCpLGJ0l0yZ9hrmnlnp1NZwFY7GjTEWHWXtGBAO1SVxY3zqhsp2SXiu
um4Va4W56DA7M0lXUkRmKadrVJaFviz6VJC7rQS+zOby80e2tN7Sckk9XDT56/9j77yW20iyNPwq
HXNfivLmYjZi4WlAUjSSqJsKiGSX976efr8EyW4aSLMaMGKxEYO5mSbFBCqRmefkOb8xYr2DNZnH
53pDgo9CeRQPi8zttWmMHLQUV8hoWEGXaedyqxjRaRuH52UdwRjNaf34zgUduAejyu/TwluA2b+2
6KpACVsakpktITLBQMtx+GLTOwmX8OTIxSVypkVJMKtKZRYPxZ9YlV4SSM4UNf+z0dqrWPEAbaIN
dmtF0BEcxLbWkpWXwAsM8zgOnHVOLx6qnQqYTpK0P/WwwmrbpXmc1mhOwsgrJkEsGXAlBGrUOatS
lLhG1W5nsEXVJSa+N4MifYtVoANZ6NOcrms0oomVqs+ywEcWzX7M6nQxBHI/SmSWN6VeIw9r2ql/
CZ2MypallHOnl/tvehwMzKJKQ6qKaLHrUkn5xBgvC7MmtkpAb17svR25lTB0fpFcbdeyKNuC48XG
R2NZv15ixYBRiEe+c4Z4w4YqjnJFrJ5QRZvWq3TFjYRuzBy+zbycpxPjWF9ocwSppv8SESiSuBcQ
ciGtaFG1RYJGoMmVbYP0RcqF1mbXALXIzlzVO0ZYs59GXoGncadzSbUiZ16ge09MN9HHQpdj7Vml
e6zwHZlRQaXPGs4cV0YETx2/133mLCoVtnFd5wvXHr+juQ0M18V8zR37r0VMbUUtCxxEK5TW+s7l
kulTeYCTOKfouwRzMQ3R5yxQEsa1xVmNGjczVV3q4KDhI2L0FzgYASbpCtmMWcZlagIGbN513qmK
TzzlDcSXaH4C7w0RwGuLs66nQ1p4IRJvmnfjddmKa9u66W1ZIHWWcsRCs5yCupEcXv36K359iCBa
6dCuApvPeWkizvwWMuqM8HzyxC3PZKxjlxwE0DFLOaXw7M9hseJPV3gc13+d6LtWFfeO19/mm/d8
gyKVeihULbLIZ4WnocxJGaTxstlYWSs9aQiwLqUZE30ei1zDiMHrGHo6nI4lZG1bwj4psL/JAdQm
BN/+hFy7AJC9VjPzs+yOd4ZXfE+6oAB2UuQn2w/+0WDO/4f9n1/G5KvgodwVkgWR4zkkC1tT6Chg
vhBhegRk/tX/UT5xwwSrqSGsgIAm8fA5JDufLNGVQYkTZAOERAZ8DsloNDiEYtAVnDs69MPfCcnY
yb9acuJ2aKnADy3yAmIlRJfXB9mo+YmvZgGUQg5c8vMxnJvK98y7R/x7xJNkUuJIEAhrggDThtMu
5+clbH8T/4IG4VsTP4MYXwNaAlN8GnG2ifxvaWkskTS/1FKbUIEIYmXdKsJtI8YrYcQzoTasSoT/
lmJWA08/vYb1gL6TI8fTokAGUw7yWyS4KfqpJwaeenDlN6NPko5bg6pLxTTBv8E3kHAThg4RUICK
+/QkxOsBxMWqE+YPelSLy9YtmjU3I+4QTlh8IwHCch7fCInyGznIlwgBJrTGjUXpSIsRp4nA4TbC
ky1zB4cSavwIK9bAFlxKrxZOFTXwPxoyyCngmWnhZVFWLYx73C2Kjg6Z0OI5GhusLzoXMIAcZ9Ow
k1Zwt2nnI0+xaqRhmen9kbp10DAvu7y5HHAbuonx2IiF2YZZ2Md0g7/KiXECrzOZ5nK/9oRBR+dZ
0tzAs6NupZDDoTnRcfMwHRwmC/w9BuW+wu3Dw/VjQKkUOWMOVRpS3yMZun1caOsYrxDN4ipDpniz
RRZ0MoYiEtlBLSxGkOUw53I/rELcR2y7m+fwRZuKOfOEQUn3aFYSbZ1L6r5Gptq1wmxZG1xfT+os
GCCr5nJ9lNkon9aWgwSqWqO3XGRySQNha9RabU1b47boUOo01JpioYyta4+KoT6FgFjirq4TPn0O
uVxoLjQFEh84xKbCKha8hDrTEHJAPw8jWa2TZx3OsqawmHWi4k+INyY9JDQxhQ2tJYjXwBkurTFH
jUKzziRftWn254wh0/SQ/G9xr9+mNga3bd9eAY3EQJaMaaYXxn2IGy6164ex5kLT4pPrmTpLAf0l
ucVCN6rUk1KY6qJ2oM11fHb7reGuE610v7y1I6NeIPMUzw3ceYca6cFcN0FbWN0991Whw4b19JDQ
wAJ7YU9lYfUbe7iqw6WdpXgApwAtdaAnBvbAKsKjRjSeYEC+DLP8c6vRJKU5c5PrQT4xMROL6eRY
OuUCTza/uoiwLQ1+YivdV28sPgfYFA+6VJ121W1qGGA3Bik7kSxrDGYM1U/wMplJFBUmpklvSPIr
pL579EA6k8u3X1w2Q+YdRb5/MprpGdjE4z7N/8RDATEl4JLyAnx3efefuLK96+lE9r8yA8FEeGIY
CHjhP/9xlcWbdEd1U/zVX3EFZJ6jKWjxcMd5E1dA5gmIHdQADeVtcZ97jiv2J/FPaR1wmmuQCwg5
z3HF/iRr9ASIVTqShRqB4jeueoAD38YVkZfaaB+SHOOwJ79JZXQ7CUsaBcO5XXvlBarGyWWg5GDP
Yl09Hroouh2U2lrYcOHWHZxhJDxbf0bffvxiOV195ctZvETMAwI2CL25JdVk0kHhg22Sz2Jh4tZq
intqGE75Wetr/r7l2juDpGlzWOT9SqIr3quoVlS1X6+UXIuA4srsnRR/OHlAyaLMq/574vveMZW1
caJLdThTU7LhyrZzEAPDF0ctphhsbQY3sY4bQB7wzKXuJI0yLGiyrp9i0eVCk5HPKbVmdIajCIha
gTFxYAAbVsHHbdE28hZ5g4jJQz4onQ7nMZmh6OEJeP2tLyA7o9uisYbSLvaM017AetTRQemG6H3h
Kd43GexP0GjlQs/Tz4aABeEwKS1rARUaBWjIF/ChGIVnRQCKKCsCLfIxIIriVJ+3AnhkKsQpmpKA
kRLwf27Wfh5LjAXzGGgeBoojtrYGGsRgpVXPOQs1EAvtwOxIAvQE7ErDVg8gVIWD9mwQ4KgClBQ0
h++E+h4FI8DiFD/DuYLvpe8VYz3Fk8ef08spZ7EwyHRxygx1CRYg1pk9HprJ1kxT2Gq2wmCzx2kT
egTIaNnLcDPEhrMDVUIh9QoBoc8oPGmTqO+Xaht/UbcKM7qw8yzx9cQz8iLD51P2Kvyd6NjkKF73
ENnJldHoEeagprAJBWbsoXxEl9tKk5NKUx4MA1PRyuyuWh8kXEXLTpg9od2byOcWXqQpnqQt3qQh
HqU5XqW+QlVzFPalpmteEGkWI76myRjUExOnU0dHH2kU3qf0mHO8UMnxkFDAHZUQxW/wS03U8oeG
Ng7QLPsOZ7Eldk43hbBY7ZFymqAak9DfUvEHLCI0dqeqZjZ3OhWDKdUdBBtBFJ46HbIJcwsT7FMF
l5Nm0gz0EnPH1WYWRs6nnqkGR/85jB8PYy7VvziM6w3RN9401ft2k+ip/HUgy59wAoHLjYcIjZdX
ZHaER/gVpCRjq+kKxurvA1m2cBTD9ANwED0nfvV8INNu0sBmYULE1cBSMSb8jQNZE52wF3dLEn0b
bicfARcT0Q6TRSXhRaVAsiUtKvs4O2/A5ozrUM2N8EzR5VCd13WCw3tQtLidxsaZkRcXKK3f6eh7
zEs1uQY/zXZUktNCLW8ptx/HVXoZUECqJTWbaCG6aoaxzntgWanVLT2t9aCoRqe+3H0dw/QBahO4
4Fat0Ckys8+Gh5FRQrvGhzvcuFhuqTrV5rgO1+h34Jdn67NSa1PlB0TmCeqbXrzovNZWjiDElcGx
Gpk1Tp14w48TuXVM6gW5FmLrLQFlQ7osP7ICK1kWFrJGsT3q15pbI0TqJl2I94aDashpGQbVbdi5
oKhaLVEXbdOG47RuwhOrSk2Uch2jot1fGtLM2dKIotRqx3mxpRclXNo85Ir6H40p/Ofj9Ksl+Eg1
cij2lqEEVSl3kVmzBHspFDwmwsOa8IPdXFWjWQ3ZqRi5zfuA3DK3vVGhQ0nleFRDj2pBE6Rtd6QP
6QwlqdO+MyB8mhRpIFaVsQpcK9jk5G7wq6RJVjfrRnCxLEhZtmBn4R5z2TbSEV4cc/ozZzY0LtDO
k0TqVihuHgNYW3nQvTwnPUugfzVZ+UOGDubAcFGhhwEwmvnQxVzFOzcRf51Q+LmKIZRZaTCLc3nZ
QTQra8ARPRk8BLTEQj8FQppjV8exYKjZiaZC5P0zRX9Uh8KmQWUDL0SjCzoUuvguVDc8125RoAL5
YM9yqHApVMExS85tKHLof52lNCorqHMjePcWKp2O8CjfJQAbAERQ7UIc5yqod6NmLBqoeKERLmkh
fVeNcMGFbZ1r9Q8vg7snvnrPAqBY4o+SKEsbkp8iuE5cNiHpYS1VhGeliaQutMB6lG4MaIIxqfgk
hjgI1PmoAkxtB/bEgVjo6BVgivgrCMWbTPaRAJUWbm6cahASEYoCKgb+1xyU0w7KYsuHAKuszCLI
jGi7HYPDnJY+jDjIjqiZnHSQH7MKcU57KB9KS71snf6yFDxJ12uNz/SLloHZwaF09fVgqMl5GePr
k0QxVMtAzTShLMh8GX1xLiPr3yksqcbRj2IKQNNCaP/nmAAMmAFww0JMSzu1MAnoC9wCeq44bRxb
Mw0jgTocWH44C+Q5XpcFXgOS5n4HKLbuhAuBnTTXEeBNTdKsSSScClThWaBs3QuEj4HkgzFC9iyF
gaWsAYVf6sL1gIYjsLqebxx9losQa4RKR0oagMgq9yMJTXQrXBS9sq4xVMB2YGo48LSA7s1ZHXxb
KgmU01QXBe3QaYoxgyocGvyhotWHiKkbnWpYOCggMhOzOMuFt0NXJHe5cHtQR4neF1XnUDhBcIP/
bMT2Ebpk2qwUbhGp8I2grIlHNtf8THhKqD5o+hCbiSSIQQ9iPMFt9FstnCgG4UkhJeNZI7iAmFWY
wrVCsqnp5vj99QFKkWnYXppYXCAqeAxzYWVLTbyAgJqDbezWuLFwhdQ5ARLhleEI1wxV+GcA9SsW
YTOcZsJbw9SC8ygqblqzgUXp99eeiVu4j51PKiwx7egcJ3Vl6gvPDq0McVrHxcMRfh66cPYYhceH
b5jR9D+x/7HpRsD9eey/bjDUeXgf9w3+6jnuYyXo2Ii144FjKAACuG09F/i2PTcNxztjKwD/QlVM
Mz+hLcPtCP7UM/b7Oe4bn8SdDWoUuBXkWPXf6rnRFnkT903U5wnjfAa0y2xEc17HfU56uSCHpesW
ZwErtfkO/5lae1TjrNrGs6GMBWQW8ePMXQcluu6G0lXTMm0vkio7shyIVRVSWBOnLWaVFJwAr1oP
FvenDLQE9JH7FpghnL4WmqtEz9ft1HU2UoxzZdObJlV+nvby1w4tKLXSvzkFdl+27+gLV/AYHWlc
xLokwdbxKenAr7RQzJtgdvXFsNPv+ZDdtH6ACntdYXJvml9KDPXSPv1aO9JXNx1OfNNCDS1Yt5F/
SgHqe5XRUMTh+ALsJpqenj1PeDDa14G5pGJ03CjZbTLIw1wPNSDqtWhFxt3KdrqbQc3LOR6JC12n
ga6G0CkgjsRU++z7wocDasfmaVXH1106RlMbvW8jsi/xCb4vKueCChjKKoDj0RIL67nbIS2Wt1zc
0ju3zm7dAm2ILL1DcYi2eVR68ybtrFVlJRde7qwCv5roofc9VmHp5rGdzzoEXiddnt11igMyDjJb
MoCOyDkDZwPi0gvytXKKhMApVCKsfd3T1OOiEeTlYgBGIpfdsec4K081LpG1/hN1zQdURK61wAPl
PH5LvBFiqcWH5Ety5JLiYof8vyqHBTZLhfnZbKu17/R/EgqzGakVVjmuPG1KBDSglX7VPeNSr7EC
sIPoWvfUPxvVbI8GfOIAFTbNQteab4nUrKrMJyczTIJ0E8CfqcMl9aVb0DrRQs2bMw5dGWaqRd1X
4bYmcz00x2ghWzmFMlteFrWf4eaaU4jK+dbw/uimVBxg+QIYL0Z7YWJDsHSr/CRwk+J4TCJyT878
idGNl1ZsLLuUBKHQi6k+uhRtI/hTct0jqjZW4SxuWHGGhVqHPbKIh4rvMFFzb96V41Xmlbxrai88
t124cnM12tpx0IHht9QYiErhejMvRmqzbaK7Ouu/2fhJTCwz/yErWYmFlDstux4nGzkAtlMiVi75
Kxkx1plkAQeR5WxpDvJSkVFZqWTJWZFADpCH7IckLE4BnWIyXIX5HG3fI9MbBlSH23TuJdhpFwaQ
HFp6rMaEmFH/qBqHOFMq+CeP2N8kvame6GmUznoKQt5RrDq+Noui7qtqR2U7L6XKD74wDW4NM9IC
9WIGhrYw8f1Nry1UNLKZXuejhkx+XPlTxU6sC8n1Ay68ReBfaEXv3QZNPq9iltBE93X3LK8qIPQm
2R9FTZn451uOd+UXsoQDn9F/lmMJodki0OZoLWjGpLHjcdbbqP4fwfh2QSAFfR1MqVvFqGcOmHV3
MfZEZl8soc2p36JOlhEuTfOGcyb2lVlvWneyhwg/l4qhpNjbuZkj1EJ1o5gHgWp513JtxdWt6rYe
OF9tJNkr5MR0v0dG4OtrWS0TaYL3cZP/J1wqj+FS+3W4zOImSXcFTP7ur4DpfBKEKKqTqsCCCPDl
c8CkWQYNiZomd2Xi1suAaWPlq1G1VFRTBFmhQPYcMFF94weiC66YW0HO37ko0zh/FTAFbhJVNq7w
igoiBp7ym9a+0hosiyxJzkfDP6YCO9HbjBSPvTSmYbZoDRDaoRuvAW1EC0NDi79RlkFen/tcuiCp
olisQg+Spo2mHHdVvoka/datqGOl9bofFS5e+mr0qapHUjZMfWAnQBM/g2OO5maSbHArNqe6P8D6
jFmZI/vgJBmwUIojgoSd1ODGNf+kaTL7NNWSC9snUDhCt3G0QIw70Q8TuLHmKhc+oMAcZuaEVta3
TmkFycM8tw20HNSGLleE/sU55Jx7M8vgfsHGQPvBMqdBGylHAMJP69o60tzkWqMHMujjGgWIH7Fb
XXcDYJgQYXXov8i2cU5krXluZNZxXON66fjGjSZJszGrv3e+uahaDtKSwuSkc+wLOhTk74igdNFZ
2IULbn/utDEwcAqtGCmRUvoKSzNH5TifyUZ46pcj7vG0bzRuBUfg1OBHRKOy8E0nWUih870nhhpt
c6rDiDrLi8/0ihZJFMwHSzm3DGfRaP3lQLcNn3rIY6Wy0RR8+mLpW6u7XyFuLcymIRPB5WPF2fMj
GOhIUkqYJbTxJkofng0tU4e1zGe5d/tZFZnJl0I/MocKXbXaplSpFVZ75slo0nQQo6kPdNOhaa98
Gpf8/2ARmPCd6iL90vAxXCq/0yiQ0FvvsqURyMyNrXAFGTCe43sIQ6TWQ9mOZ9kAzgH9jMvAhm7S
uffow4EiMs1rPTMvJTrLU6k2Tx0U3RF4sHxoY4DNg9K/lAz3yAhrHdAsiPm+CK8R1rujw4ufa4JX
VHQfpuUXzyEDM1UD2igPtcpdpaP3RZSkwuhNKVgtNL3uJ4HlYh0URKACG6Q8hUhMtKRtuIpULZ6n
TQ/RAV4XNaB8ppvoWRC8v2VZMncUKAsIivmkWFWAMDxJY9orQBCrsuf2ZOFG10P1NRUnX+ObdVOM
0aWbN/aUshTYkEDCMqxH7Dtp4ITHZXYig9o8he21aOzqW2Bap4CfL9M2C6ZW4CRTSRnHZZKGDVSP
kjrBkLIyNfV7nhZXdssXb3TebKC6IDcuYuuSMsM5F8Ea+7LBYbXTICUorntkkfFNDBY9+n/2oh+x
9SkVSsKqF0F+7sjCwgJ1GGkcNjhEVlOwlh4ek/x1jdozvdmZHOFuM1CMUcRNFZzJEthTMh+iSypa
KPojf+GNGykaNnVrXnt9ex3F+I719gX6RwAoPSodnYqOCXqFXxB+TUGVWnOhge0PrXmMWjmZoMiX
GgMiCgK1G77X4RhC9TzLqSFHNoBdVdIf1L5ax7K0RhkgnSMhk85pfWy4va+GvMZA18SvTrZoIEK0
sCZDidGiWnRXidVl6JnUyhJcEVmhZvJ5WrwTuoYVyM//VGNSpcGIXQoC6J/YsXRZNPJDlbAkdDMJ
jjPLusnL4qyKQXKDMnzIcwrquDVVIQLsmADpcxJgdWEq+AvLY3nqKlTsoVVjWDfaJ0XKQ8NAxAqy
Tm/1JM4WGWoH4MdsTKraUkfbyVu5MOpWmTJsChNIt8PRqEfQ9NBQ4fKsr8faP6+EfjocAHoWgXbV
hUmHwGR2UVTykg7VdT5yVmbKleIV6jQbEQ+QM2uDvgMO3j6lRh1KeUCn2JCbG4x1lCmohGIeh/Cy
SoNFHVXubWuOt2VdXPqV7q28WEIPXGmEWFM00evmKrcx0Cojvl9NwkJUK7tpZwmdy6T8gbgtRwWi
P75zzkG3hEGDn6BeXaNz8yVS669lgcRPHDVfdWeUV4raKTNZVmnCVmE7C2zfmGIaLwD2CPwiVHRU
VuFVamrLMad65UbKbRf18sSJQ9RFnXBqO5E60XKTxE790pqfu+p4dL91wYnua59Tknf6519CKbkJ
tISvJq2X+B2dqTltiDxWqpUcmg8KB/1cQSSyDUy2ti65K8mAXmWZYwAWOQAqogPvcrrTKo8paakr
q485fpEdGAflCqWmEz8bRuiwzVerhnMGJf64qM9EjbM2QM57lncBvp5qY+YESxWzhSkuml+VYVzi
DRuephLH/yiVawcH6gXOnNFCq/twMiqaBlDb5tsCQdjl3rEhnCoqlPxBjmSeU0Bb0tQVXNsH1A79
dZfWqEeATzesr2EGR7asA2FMWIzDmeLLwdSv+J4tQPJo/9QklTAYOb+OXcQ3zhWthJo5SuPKpaZ7
hHnPWVz6tr2BXjgsxx7DLD/HnYTgESIY7S0SQ1lTdT/iNDo2uXBHNiC9skY6Xip1/A+snBOiLbyJ
Xkkrv9DPAHd4q9SXH1COeMCZ8gchBz6032PeIM0S25qpdNW0ms9IJyubRX181wcRgEPPB/oZqpPa
RY4z9cxvfp+0Szqu4byjJVdAqgA/gaVAK5FyW+aJJ0q7P+CUKrp7CZdrJSF+AeCby3UOty5oEmUK
Se+G6SeKK/EDno/HrepZYMz6z2VlLkO7AqiAePOC6z5XqVLOZ0EMmE8pum9pjQ9DH18Z+jAzY+MG
DzduEiEtszFCAcJclAFuoewTuHs92qQ5Zl36HYfrRU2naxr7LIHALC7xdltwwClL0KmEbAWbUZ+q
nzUqq9SsVRwKknPLAawRuT7CUU40zMse9A7nfjzzzRGTDBPEZo98VG7qFYaU6masVPQuO0THA5Aq
QCzPSHK/lWV+2luxNc0Saa6gtYDTwS2hZdF2qGoU7Qk7d0XXBqeVzr/JR8oTYUC9VCHURspp4NYn
bpx9NXLlG4bFxIjU+lqp/Trj9oO4HCrkIbK8lLq9L5QjUly74qMxOC71ct173iLv1GjWBPZn38iJ
0ZJ50+Tteuz9CVKTP2LdOC4iJeZrH05h4TcrutX1PO3NdaJgeW4mHISSv5SNAB6Boa+iDOiWPJ40
paZBz6CKakL8CLskudBcecSbz5aQO4FL2vp0VdClE3a+qjYxknSY5pWFZMVYriogtrNSDn9YHTmM
3TcXVl5pS6dssyU269VpUkDAKbTuBMdlm0PJpf/sSktn23pRt20YyrC0ZMxaOka5PlliTH/kbBs3
8baJM24bOv9fqpdPCMqdWpN/KR2J315kQVpfZ+8EKf9X/+i5L7h7oN8Sr1S57byqh24/2FY+85fj
xBtkNpt7wCsa1zvAs44FvGT7YsQ4Q7v+8deSokIqAFdLhxLILe/1Yo5+Ngu/fsD3up7vx/n5h39Z
3QUtQtv0t5+fB/z78a1PqgHp0FHwAxWvt49PUZjLLxQIxBK2r0OYBFHP3kqcHt3/8x+PV335bWX8
31kJBt826u5iPfCi5fx6JYBhYq4gYj6uuv/jlbBrEvbfDiie0cWX4aO8fXoZkO8Wcvu4Ug51DoR8
229vCebyxZ4QxZstiIGGh3hR8nm9EFTsV6ib4Et3kLtBrN+9J8H6BOwClR+4BNsX0/p2EiACs1Ye
N97hbQZRc9tzIZifQMhs2WQ/WQgKBUAwtGDjDnIhUBzcfyHAxBMkcuij71cAPAGMgUR/8f8+MvIh
3gWFt/Xf3w8Ktqj+qtRrn84C3uX1NqAGbOO4pAm062FOAi3WPfcBPE0Hbge8j8ez4G1kJEkAP2vB
Rj/MA1EUyfeeBIc8kO+ZWXg8DN6tBGG9ZSN1JgicB7kS3smr/jvbgfMQ4q3MM77eBwpLQLdAeB9q
YiA+8t77AAqlA8UJg0rxersPVFWAIG0DLvOBLoF3CoG/vQRQ9GOb43MEa3v72rEPNBAmiIUc6omo
7p8ichhAE8D87ukweJciQpbDcECwMQ90JQiKw37bQWfLw8ezVLEnxOtdiqhzZOoaKSJr5DBPxL0n
YVs/UAzyo59tB26NlCRttsyBToK2/8G4vRDRnBSioK/CAnAzLLptlLWpVYjXgc6BvP+RgOU4rFik
sR8fVDzqq6kALUDYAM2+9dLaVloOck9o+6dKOtJTaKnbGu4u4vX2dGRVgFZAX/Zgl8Nj/P7beue3
w6SATAIN4WB4qpu9XQ4iZ7ZR7LKVQ00XhQ3WnhGCJW+jRoImy9vNwBIxkdanwPC4XQ70XBBKGvvN
AR4CmE8xDU8P+i5KshBUCPLEj0PdDcr+ZUUCBMHBACH8kxPB+IRzJbuF2qN4HeolQhg07rkeTApr
6OhhQvEUKN5sDVSRODJME+rTgW4KARrfcxI0UOiygRPG43J433awPiEVI6s4iR3oJCj715YMnnHb
b3iaBab1VcbAySDumwpK5wc6CU+Vv/3iJFkCMpUY5G5fOyZBRY2EMHmo+bMwk9tzO+iY0+DXbtGG
ew6Hb1cCEvqakAh7/j3veHg1d2X/cGl+YrnTWNCfLgw78iZIq2jKKIe6KZ7qHvtsCnIGOLQ6D/m4
Kd4m0BSaSJyowtmHerN+ymr3mQROP/IF0qKnW8SOQhPEIwXhoUOtsSh7lxeotumU3TG6eAqU71YC
/Qd+LQjbBxojnvbpPitBR3lKRQTk+Ux4V2Vgv4C3p/z8WIQ52OzxI66VtKPouFlPhce34VIIeJnU
oIFrHOp6ePxg+6wHOIxCBMyQn2otb9cDxyOkCxFPDzWFVvfPGSxUGtC+EZyUnyVOjqlbKLZBqRSv
A10P74Rkf7/WQp0ZuQjssn/SlxFXbNSHZFPISBxk4vRUId9vU+BU6Jh/FRrebQpCCWaunJEQhngd
6iGp7n2xojGhO1sK8VO2/K76RA8LPVSdq9WhrofHhbrPetAouVBtts2fNe1B+GCwBZvjUFeC0KvZ
82IF2U5HZsUwf5ZD0qdDZkYIjx3qStg/XNqfqC6KtfB0xX6XQzIJgryPasTj60CnQqh97rkenE8O
akc0aZ4u2iTNry7apE/k0qgPPDXFDu+Kre1fgURWD6EmksSnxODdJIjzU/yP4tQhRwpt70hBl0bo
3AL7/Um1QWUqZGxzMWY51E2x9x0Tpxh8iWX0D59bFG83hfBOlmE/C5Wug0yftMfL7z7hkjsFNwod
jeLtmn/Xs2Ql4OSiE0wfb16HGjQFC33PQ9IgnVZhsXJAPO//t4ekSckaIPyhrgdUaPadBBoQFBSo
PT1tCqb19SQon0RVGojPofZvn3brfpuCO6bFLDwdj+8iBXVIlUlwnib88MKlvn+4NEW1AU0iIdcg
Xu9WAsBPGrh0MA41RggZ9T3PBFDgpqzRrn9MCd4fj/InfkkPQyhS8DrU4/Gpi7TfpnBsIbbBHfP5
UV+fDEJaE782SOsHGi6fjqw9JkFg//ABIEw8w53eHo8qMie09ClGHuok7J84CWgH1yrBENm9EjgZ
8C/CL/tgT4b9b5cQKDFxgiLxdKV6dzxCkhHTdLhQWGPveyVtGpArJl2KnzRwRcOO9i3swcf08mCP
x70TJ6bCooNLLv0ULnfkDKJzSSv7Nybhf5FY/MU9nvpBfL+lJuNAveUCP1Ju/+U/eObtvh/gBbNo
S7p99S+vh/zhcexH/pH47//a3CdBOguqugzuanXbqn/x2+fW/fadnv7+6RHfv/mrN3t+rucfrjB1
2ZR3/rD9xfD0QR+F+f87Rp//fvOWFyXqgc8/E+/9z3+8/rAvcoVfj54Hu8SzZHbT34/67w6ebO6z
8nmgFzRf1szeg09Q2H14HufF2KSKe4893cSblq+keh7rxfhEwv3HR7OseveVknOR4n3A4Gldbv6Y
ZlW96y246Oz9FrOH+I+zrNw5/wTJvcefx3/MspLF8zzWi/nnJNp7/EX5UO0yuxCdpb0HX8YPafo8
zosP/hHbddUkP7L4vn4/vMD57v3Rj5L8oQw28fNQf396gR7df/h02PGNCjTm3kOfPJQ75lx0hvYf
Oki9HQeBQEntPfbpJtpxhgnYzQcMXVUPu+bkIzboaVb98d+p9xA/7JqZj9ii6809B/DzPLxYiB+x
RdebMtg1NR+xRcXYSFPt+OgCLrD317p+SO+zu2DX6SUULT5g/PLu4f55oL/nXfS29x8847M/j/Ni
7I/Yputs55x8xC5l6PqhfBh2fPKP2Klnm3zXavmIfXr20G7e5454MX3EFj0vNxwBOyblI7boRby5
e9iRO4pq9d7r8AI1rV3JnehN7j34ZUDqWAX3O2ZGYO73Hv9qc1dyJUjrHbFU9BU/4A3SPyYP6Ebv
eoOP2KpXG/EGZbop73ceZIK89iFPMQsevF0P8RG7VjzEgh1wF1R3u97jI7aveI/jbFM0u6KVaJd9
yCydNkH1x/mPoMp3PcdHbGbxHOtN/bBr/I/Yz4yPnd1kU/7Y7MoZBLb/I2aK95hizrDjsBadk496
h7IZnwf7O0SKDsj+b+Bvdt4JhZ7A/oP/yph2q/O1R5niKqiiYMia58/5YmI+ZC//yvxw789OYpLs
WjMfsn//lVPY3p9elFl2xGH9I/bt9YO/2TU1opa794K8JscP6h1JmzBO33/0X9m07Dvp180vRe33
Hf4LT9/sOsYEinfvmbnN4h3nvJCt2X/o5seOjWT861C7qyz7F/XqfbH2Wd1x15+9rkWLf3EXP2zK
//ofAAAA//8=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chandoo.org/wp/excel-school-program/"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image" Target="../media/image4.emf"/><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1397001</xdr:colOff>
      <xdr:row>0</xdr:row>
      <xdr:rowOff>0</xdr:rowOff>
    </xdr:from>
    <xdr:to>
      <xdr:col>27</xdr:col>
      <xdr:colOff>254001</xdr:colOff>
      <xdr:row>45</xdr:row>
      <xdr:rowOff>0</xdr:rowOff>
    </xdr:to>
    <xdr:sp macro="" textlink="">
      <xdr:nvSpPr>
        <xdr:cNvPr id="3" name="Rectangle 2">
          <a:extLst>
            <a:ext uri="{FF2B5EF4-FFF2-40B4-BE49-F238E27FC236}">
              <a16:creationId xmlns:a16="http://schemas.microsoft.com/office/drawing/2014/main" id="{5624F273-5153-47FF-8F3C-CFFF35255424}"/>
            </a:ext>
          </a:extLst>
        </xdr:cNvPr>
        <xdr:cNvSpPr/>
      </xdr:nvSpPr>
      <xdr:spPr>
        <a:xfrm>
          <a:off x="1733177" y="0"/>
          <a:ext cx="15399684" cy="8824632"/>
        </a:xfrm>
        <a:prstGeom prst="rect">
          <a:avLst/>
        </a:prstGeom>
        <a:solidFill>
          <a:schemeClr val="tx2">
            <a:lumMod val="10000"/>
            <a:lumOff val="90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0</xdr:colOff>
      <xdr:row>0</xdr:row>
      <xdr:rowOff>0</xdr:rowOff>
    </xdr:from>
    <xdr:to>
      <xdr:col>2</xdr:col>
      <xdr:colOff>333375</xdr:colOff>
      <xdr:row>45</xdr:row>
      <xdr:rowOff>0</xdr:rowOff>
    </xdr:to>
    <xdr:sp macro="" textlink="">
      <xdr:nvSpPr>
        <xdr:cNvPr id="2" name="Rectangle 1">
          <a:extLst>
            <a:ext uri="{FF2B5EF4-FFF2-40B4-BE49-F238E27FC236}">
              <a16:creationId xmlns:a16="http://schemas.microsoft.com/office/drawing/2014/main" id="{D4C792B2-5BFB-923F-0C01-1CF960803390}"/>
            </a:ext>
          </a:extLst>
        </xdr:cNvPr>
        <xdr:cNvSpPr/>
      </xdr:nvSpPr>
      <xdr:spPr>
        <a:xfrm>
          <a:off x="0" y="0"/>
          <a:ext cx="2084294" cy="8824632"/>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9</xdr:row>
      <xdr:rowOff>84896</xdr:rowOff>
    </xdr:from>
    <xdr:to>
      <xdr:col>1</xdr:col>
      <xdr:colOff>1372973</xdr:colOff>
      <xdr:row>11</xdr:row>
      <xdr:rowOff>93476</xdr:rowOff>
    </xdr:to>
    <xdr:sp macro="" textlink="Pivot!H5">
      <xdr:nvSpPr>
        <xdr:cNvPr id="5" name="TextBox 4">
          <a:extLst>
            <a:ext uri="{FF2B5EF4-FFF2-40B4-BE49-F238E27FC236}">
              <a16:creationId xmlns:a16="http://schemas.microsoft.com/office/drawing/2014/main" id="{8A02D7AB-60E5-ADA4-B8BE-D03A09550C65}"/>
            </a:ext>
          </a:extLst>
        </xdr:cNvPr>
        <xdr:cNvSpPr txBox="1"/>
      </xdr:nvSpPr>
      <xdr:spPr>
        <a:xfrm>
          <a:off x="0" y="1799396"/>
          <a:ext cx="1715873" cy="38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F247E8A-D050-4C66-903C-9BA3110B7913}" type="TxLink">
            <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rPr>
            <a:pPr algn="l"/>
            <a:t>2,400</a:t>
          </a:fld>
          <a:endParaRPr lang="en-US" sz="1800" b="1">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0</xdr:col>
      <xdr:colOff>0</xdr:colOff>
      <xdr:row>13</xdr:row>
      <xdr:rowOff>125970</xdr:rowOff>
    </xdr:from>
    <xdr:to>
      <xdr:col>1</xdr:col>
      <xdr:colOff>1372973</xdr:colOff>
      <xdr:row>15</xdr:row>
      <xdr:rowOff>134550</xdr:rowOff>
    </xdr:to>
    <xdr:sp macro="" textlink="Pivot!I5">
      <xdr:nvSpPr>
        <xdr:cNvPr id="6" name="TextBox 5">
          <a:extLst>
            <a:ext uri="{FF2B5EF4-FFF2-40B4-BE49-F238E27FC236}">
              <a16:creationId xmlns:a16="http://schemas.microsoft.com/office/drawing/2014/main" id="{59C56322-5F85-441A-9333-540AFAB62B44}"/>
            </a:ext>
          </a:extLst>
        </xdr:cNvPr>
        <xdr:cNvSpPr txBox="1"/>
      </xdr:nvSpPr>
      <xdr:spPr>
        <a:xfrm>
          <a:off x="0" y="2580159"/>
          <a:ext cx="1716216" cy="38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159C106-EC34-4D01-A424-BAF4D631839B}" type="TxLink">
            <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rPr>
            <a:pPr marL="0" indent="0" algn="l"/>
            <a:t>11,997</a:t>
          </a:fld>
          <a:endPar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endParaRPr>
        </a:p>
      </xdr:txBody>
    </xdr:sp>
    <xdr:clientData/>
  </xdr:twoCellAnchor>
  <xdr:twoCellAnchor>
    <xdr:from>
      <xdr:col>0</xdr:col>
      <xdr:colOff>0</xdr:colOff>
      <xdr:row>17</xdr:row>
      <xdr:rowOff>167044</xdr:rowOff>
    </xdr:from>
    <xdr:to>
      <xdr:col>1</xdr:col>
      <xdr:colOff>1372973</xdr:colOff>
      <xdr:row>19</xdr:row>
      <xdr:rowOff>175624</xdr:rowOff>
    </xdr:to>
    <xdr:sp macro="" textlink="Pivot!J5">
      <xdr:nvSpPr>
        <xdr:cNvPr id="7" name="TextBox 6">
          <a:extLst>
            <a:ext uri="{FF2B5EF4-FFF2-40B4-BE49-F238E27FC236}">
              <a16:creationId xmlns:a16="http://schemas.microsoft.com/office/drawing/2014/main" id="{94AC71F5-B539-4264-B7B7-50B1264C409A}"/>
            </a:ext>
          </a:extLst>
        </xdr:cNvPr>
        <xdr:cNvSpPr txBox="1"/>
      </xdr:nvSpPr>
      <xdr:spPr>
        <a:xfrm>
          <a:off x="0" y="3376368"/>
          <a:ext cx="1716216" cy="38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2B24541-F8D0-4BA8-A81E-C92B82733251}" type="TxLink">
            <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rPr>
            <a:pPr marL="0" indent="0" algn="l"/>
            <a:t>$649.0k</a:t>
          </a:fld>
          <a:endPar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endParaRPr>
        </a:p>
      </xdr:txBody>
    </xdr:sp>
    <xdr:clientData/>
  </xdr:twoCellAnchor>
  <xdr:twoCellAnchor>
    <xdr:from>
      <xdr:col>0</xdr:col>
      <xdr:colOff>0</xdr:colOff>
      <xdr:row>22</xdr:row>
      <xdr:rowOff>19334</xdr:rowOff>
    </xdr:from>
    <xdr:to>
      <xdr:col>1</xdr:col>
      <xdr:colOff>1372973</xdr:colOff>
      <xdr:row>24</xdr:row>
      <xdr:rowOff>27914</xdr:rowOff>
    </xdr:to>
    <xdr:sp macro="" textlink="Pivot!K5">
      <xdr:nvSpPr>
        <xdr:cNvPr id="8" name="TextBox 7">
          <a:extLst>
            <a:ext uri="{FF2B5EF4-FFF2-40B4-BE49-F238E27FC236}">
              <a16:creationId xmlns:a16="http://schemas.microsoft.com/office/drawing/2014/main" id="{5D0EF76F-DD71-414F-B4FA-EC05B0951F3B}"/>
            </a:ext>
          </a:extLst>
        </xdr:cNvPr>
        <xdr:cNvSpPr txBox="1"/>
      </xdr:nvSpPr>
      <xdr:spPr>
        <a:xfrm>
          <a:off x="0" y="4172577"/>
          <a:ext cx="1716216" cy="38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24FC615-2EC3-4417-AD27-1558112DEEFA}" type="TxLink">
            <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rPr>
            <a:pPr marL="0" indent="0" algn="l"/>
            <a:t>4.0</a:t>
          </a:fld>
          <a:endPar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endParaRPr>
        </a:p>
      </xdr:txBody>
    </xdr:sp>
    <xdr:clientData/>
  </xdr:twoCellAnchor>
  <xdr:twoCellAnchor>
    <xdr:from>
      <xdr:col>0</xdr:col>
      <xdr:colOff>0</xdr:colOff>
      <xdr:row>26</xdr:row>
      <xdr:rowOff>60410</xdr:rowOff>
    </xdr:from>
    <xdr:to>
      <xdr:col>1</xdr:col>
      <xdr:colOff>1372973</xdr:colOff>
      <xdr:row>28</xdr:row>
      <xdr:rowOff>68990</xdr:rowOff>
    </xdr:to>
    <xdr:sp macro="" textlink="Pivot!L5">
      <xdr:nvSpPr>
        <xdr:cNvPr id="9" name="TextBox 8">
          <a:extLst>
            <a:ext uri="{FF2B5EF4-FFF2-40B4-BE49-F238E27FC236}">
              <a16:creationId xmlns:a16="http://schemas.microsoft.com/office/drawing/2014/main" id="{1D87A891-54DE-40AC-B39F-6652874FCDEC}"/>
            </a:ext>
          </a:extLst>
        </xdr:cNvPr>
        <xdr:cNvSpPr txBox="1"/>
      </xdr:nvSpPr>
      <xdr:spPr>
        <a:xfrm>
          <a:off x="0" y="4968788"/>
          <a:ext cx="1716216" cy="38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6E1E712-85D6-4323-9576-31208B0C7606}" type="TxLink">
            <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rPr>
            <a:pPr marL="0" indent="0" algn="l"/>
            <a:t>2.3</a:t>
          </a:fld>
          <a:endParaRPr lang="en-US" sz="1800" b="1" i="0" u="none" strike="noStrike">
            <a:gradFill>
              <a:gsLst>
                <a:gs pos="0">
                  <a:schemeClr val="tx1"/>
                </a:gs>
                <a:gs pos="92000">
                  <a:schemeClr val="bg1">
                    <a:lumMod val="85000"/>
                  </a:schemeClr>
                </a:gs>
                <a:gs pos="58000">
                  <a:schemeClr val="tx1">
                    <a:lumMod val="75000"/>
                    <a:lumOff val="25000"/>
                  </a:schemeClr>
                </a:gs>
                <a:gs pos="100000">
                  <a:schemeClr val="tx1">
                    <a:lumMod val="50000"/>
                    <a:lumOff val="50000"/>
                  </a:schemeClr>
                </a:gs>
              </a:gsLst>
              <a:lin ang="5400000" scaled="1"/>
            </a:gradFill>
            <a:effectLst>
              <a:outerShdw blurRad="50800" dist="38100" dir="2700000" algn="tl" rotWithShape="0">
                <a:prstClr val="black">
                  <a:alpha val="40000"/>
                </a:prstClr>
              </a:outerShdw>
            </a:effectLst>
            <a:latin typeface="Aptos Narrow"/>
            <a:ea typeface="ADLaM Display" panose="020F0502020204030204" pitchFamily="2" charset="0"/>
            <a:cs typeface="ADLaM Display" panose="020F0502020204030204" pitchFamily="2" charset="0"/>
          </a:endParaRPr>
        </a:p>
      </xdr:txBody>
    </xdr:sp>
    <xdr:clientData/>
  </xdr:twoCellAnchor>
  <xdr:twoCellAnchor>
    <xdr:from>
      <xdr:col>0</xdr:col>
      <xdr:colOff>0</xdr:colOff>
      <xdr:row>7</xdr:row>
      <xdr:rowOff>120136</xdr:rowOff>
    </xdr:from>
    <xdr:to>
      <xdr:col>1</xdr:col>
      <xdr:colOff>978244</xdr:colOff>
      <xdr:row>9</xdr:row>
      <xdr:rowOff>17163</xdr:rowOff>
    </xdr:to>
    <xdr:sp macro="" textlink="">
      <xdr:nvSpPr>
        <xdr:cNvPr id="10" name="TextBox 9">
          <a:extLst>
            <a:ext uri="{FF2B5EF4-FFF2-40B4-BE49-F238E27FC236}">
              <a16:creationId xmlns:a16="http://schemas.microsoft.com/office/drawing/2014/main" id="{77DCB3A6-B3DB-17D6-026C-E6F1063BEBBB}"/>
            </a:ext>
          </a:extLst>
        </xdr:cNvPr>
        <xdr:cNvSpPr txBox="1"/>
      </xdr:nvSpPr>
      <xdr:spPr>
        <a:xfrm>
          <a:off x="0" y="1453636"/>
          <a:ext cx="1321144" cy="278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🛒Orders</a:t>
          </a:r>
        </a:p>
      </xdr:txBody>
    </xdr:sp>
    <xdr:clientData/>
  </xdr:twoCellAnchor>
  <xdr:twoCellAnchor>
    <xdr:from>
      <xdr:col>0</xdr:col>
      <xdr:colOff>0</xdr:colOff>
      <xdr:row>16</xdr:row>
      <xdr:rowOff>13499</xdr:rowOff>
    </xdr:from>
    <xdr:to>
      <xdr:col>1</xdr:col>
      <xdr:colOff>978244</xdr:colOff>
      <xdr:row>17</xdr:row>
      <xdr:rowOff>99311</xdr:rowOff>
    </xdr:to>
    <xdr:sp macro="" textlink="">
      <xdr:nvSpPr>
        <xdr:cNvPr id="11" name="TextBox 10">
          <a:extLst>
            <a:ext uri="{FF2B5EF4-FFF2-40B4-BE49-F238E27FC236}">
              <a16:creationId xmlns:a16="http://schemas.microsoft.com/office/drawing/2014/main" id="{C155704A-E50C-4515-8FBD-F3B361657C69}"/>
            </a:ext>
          </a:extLst>
        </xdr:cNvPr>
        <xdr:cNvSpPr txBox="1"/>
      </xdr:nvSpPr>
      <xdr:spPr>
        <a:xfrm>
          <a:off x="0" y="3034040"/>
          <a:ext cx="1321487" cy="274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💰Amount</a:t>
          </a:r>
        </a:p>
      </xdr:txBody>
    </xdr:sp>
    <xdr:clientData/>
  </xdr:twoCellAnchor>
  <xdr:twoCellAnchor>
    <xdr:from>
      <xdr:col>0</xdr:col>
      <xdr:colOff>0</xdr:colOff>
      <xdr:row>11</xdr:row>
      <xdr:rowOff>161209</xdr:rowOff>
    </xdr:from>
    <xdr:to>
      <xdr:col>1</xdr:col>
      <xdr:colOff>978244</xdr:colOff>
      <xdr:row>13</xdr:row>
      <xdr:rowOff>58237</xdr:rowOff>
    </xdr:to>
    <xdr:sp macro="" textlink="">
      <xdr:nvSpPr>
        <xdr:cNvPr id="12" name="TextBox 11">
          <a:extLst>
            <a:ext uri="{FF2B5EF4-FFF2-40B4-BE49-F238E27FC236}">
              <a16:creationId xmlns:a16="http://schemas.microsoft.com/office/drawing/2014/main" id="{1510E835-6505-4D9F-B200-7D55CB670318}"/>
            </a:ext>
          </a:extLst>
        </xdr:cNvPr>
        <xdr:cNvSpPr txBox="1"/>
      </xdr:nvSpPr>
      <xdr:spPr>
        <a:xfrm>
          <a:off x="0" y="2237831"/>
          <a:ext cx="1321487" cy="274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👕Quantity</a:t>
          </a:r>
        </a:p>
      </xdr:txBody>
    </xdr:sp>
    <xdr:clientData/>
  </xdr:twoCellAnchor>
  <xdr:twoCellAnchor>
    <xdr:from>
      <xdr:col>0</xdr:col>
      <xdr:colOff>0</xdr:colOff>
      <xdr:row>20</xdr:row>
      <xdr:rowOff>54573</xdr:rowOff>
    </xdr:from>
    <xdr:to>
      <xdr:col>1</xdr:col>
      <xdr:colOff>978244</xdr:colOff>
      <xdr:row>21</xdr:row>
      <xdr:rowOff>140385</xdr:rowOff>
    </xdr:to>
    <xdr:sp macro="" textlink="">
      <xdr:nvSpPr>
        <xdr:cNvPr id="13" name="TextBox 12">
          <a:extLst>
            <a:ext uri="{FF2B5EF4-FFF2-40B4-BE49-F238E27FC236}">
              <a16:creationId xmlns:a16="http://schemas.microsoft.com/office/drawing/2014/main" id="{83C2708C-C615-44EA-A423-5ACDCEA7B89E}"/>
            </a:ext>
          </a:extLst>
        </xdr:cNvPr>
        <xdr:cNvSpPr txBox="1"/>
      </xdr:nvSpPr>
      <xdr:spPr>
        <a:xfrm>
          <a:off x="0" y="3830249"/>
          <a:ext cx="1321487" cy="274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⭐Average</a:t>
          </a:r>
          <a:r>
            <a:rPr lang="en-US" sz="1100" b="1" baseline="0"/>
            <a:t> Rating</a:t>
          </a:r>
          <a:endParaRPr lang="en-US" sz="1100" b="1"/>
        </a:p>
      </xdr:txBody>
    </xdr:sp>
    <xdr:clientData/>
  </xdr:twoCellAnchor>
  <xdr:twoCellAnchor>
    <xdr:from>
      <xdr:col>0</xdr:col>
      <xdr:colOff>0</xdr:colOff>
      <xdr:row>24</xdr:row>
      <xdr:rowOff>95647</xdr:rowOff>
    </xdr:from>
    <xdr:to>
      <xdr:col>1</xdr:col>
      <xdr:colOff>1330068</xdr:colOff>
      <xdr:row>25</xdr:row>
      <xdr:rowOff>181458</xdr:rowOff>
    </xdr:to>
    <xdr:sp macro="" textlink="">
      <xdr:nvSpPr>
        <xdr:cNvPr id="14" name="TextBox 13">
          <a:extLst>
            <a:ext uri="{FF2B5EF4-FFF2-40B4-BE49-F238E27FC236}">
              <a16:creationId xmlns:a16="http://schemas.microsoft.com/office/drawing/2014/main" id="{DFB9C2C2-54C9-4CFA-837E-177BA216181F}"/>
            </a:ext>
          </a:extLst>
        </xdr:cNvPr>
        <xdr:cNvSpPr txBox="1"/>
      </xdr:nvSpPr>
      <xdr:spPr>
        <a:xfrm>
          <a:off x="0" y="4626458"/>
          <a:ext cx="1673311" cy="274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🗓️Days to Deliver</a:t>
          </a:r>
        </a:p>
      </xdr:txBody>
    </xdr:sp>
    <xdr:clientData/>
  </xdr:twoCellAnchor>
  <xdr:twoCellAnchor>
    <xdr:from>
      <xdr:col>9</xdr:col>
      <xdr:colOff>189497</xdr:colOff>
      <xdr:row>74</xdr:row>
      <xdr:rowOff>67137</xdr:rowOff>
    </xdr:from>
    <xdr:to>
      <xdr:col>16</xdr:col>
      <xdr:colOff>479119</xdr:colOff>
      <xdr:row>88</xdr:row>
      <xdr:rowOff>99972</xdr:rowOff>
    </xdr:to>
    <xdr:graphicFrame macro="">
      <xdr:nvGraphicFramePr>
        <xdr:cNvPr id="22" name="Chart 5">
          <a:extLst>
            <a:ext uri="{FF2B5EF4-FFF2-40B4-BE49-F238E27FC236}">
              <a16:creationId xmlns:a16="http://schemas.microsoft.com/office/drawing/2014/main" id="{B4983E4B-34A7-3413-88CC-1C0A85297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191312</xdr:colOff>
      <xdr:row>74</xdr:row>
      <xdr:rowOff>76091</xdr:rowOff>
    </xdr:from>
    <xdr:to>
      <xdr:col>16</xdr:col>
      <xdr:colOff>491944</xdr:colOff>
      <xdr:row>88</xdr:row>
      <xdr:rowOff>110619</xdr:rowOff>
    </xdr:to>
    <xdr:graphicFrame macro="">
      <xdr:nvGraphicFramePr>
        <xdr:cNvPr id="23" name="Chart 6">
          <a:extLst>
            <a:ext uri="{FF2B5EF4-FFF2-40B4-BE49-F238E27FC236}">
              <a16:creationId xmlns:a16="http://schemas.microsoft.com/office/drawing/2014/main" id="{905BFB3B-60EA-4930-B94E-6E8FFFB75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109304</xdr:colOff>
      <xdr:row>3</xdr:row>
      <xdr:rowOff>164904</xdr:rowOff>
    </xdr:from>
    <xdr:to>
      <xdr:col>26</xdr:col>
      <xdr:colOff>523095</xdr:colOff>
      <xdr:row>13</xdr:row>
      <xdr:rowOff>137656</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835FBF01-1C2A-43DD-8F7C-8F96AB63670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4922663" y="730451"/>
              <a:ext cx="1624260" cy="1857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419836</xdr:colOff>
      <xdr:row>5</xdr:row>
      <xdr:rowOff>76985</xdr:rowOff>
    </xdr:from>
    <xdr:to>
      <xdr:col>21</xdr:col>
      <xdr:colOff>89209</xdr:colOff>
      <xdr:row>13</xdr:row>
      <xdr:rowOff>145530</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014D0D11-F11E-44EE-8820-A9346C9CC1A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996555" y="1019563"/>
              <a:ext cx="2090310" cy="1576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343523</xdr:colOff>
      <xdr:row>3</xdr:row>
      <xdr:rowOff>171761</xdr:rowOff>
    </xdr:from>
    <xdr:to>
      <xdr:col>24</xdr:col>
      <xdr:colOff>17982</xdr:colOff>
      <xdr:row>13</xdr:row>
      <xdr:rowOff>132725</xdr:rowOff>
    </xdr:to>
    <mc:AlternateContent xmlns:mc="http://schemas.openxmlformats.org/markup-compatibility/2006" xmlns:a14="http://schemas.microsoft.com/office/drawing/2010/main">
      <mc:Choice Requires="a14">
        <xdr:graphicFrame macro="">
          <xdr:nvGraphicFramePr>
            <xdr:cNvPr id="28" name="Rating C">
              <a:extLst>
                <a:ext uri="{FF2B5EF4-FFF2-40B4-BE49-F238E27FC236}">
                  <a16:creationId xmlns:a16="http://schemas.microsoft.com/office/drawing/2014/main" id="{88272631-3D10-4881-BE77-EB511CA902F8}"/>
                </a:ext>
              </a:extLst>
            </xdr:cNvPr>
            <xdr:cNvGraphicFramePr/>
          </xdr:nvGraphicFramePr>
          <xdr:xfrm>
            <a:off x="0" y="0"/>
            <a:ext cx="0" cy="0"/>
          </xdr:xfrm>
          <a:graphic>
            <a:graphicData uri="http://schemas.microsoft.com/office/drawing/2010/slicer">
              <sle:slicer xmlns:sle="http://schemas.microsoft.com/office/drawing/2010/slicer" name="Rating C"/>
            </a:graphicData>
          </a:graphic>
        </xdr:graphicFrame>
      </mc:Choice>
      <mc:Fallback xmlns="">
        <xdr:sp macro="" textlink="">
          <xdr:nvSpPr>
            <xdr:cNvPr id="0" name=""/>
            <xdr:cNvSpPr>
              <a:spLocks noTextEdit="1"/>
            </xdr:cNvSpPr>
          </xdr:nvSpPr>
          <xdr:spPr>
            <a:xfrm>
              <a:off x="13341179" y="737308"/>
              <a:ext cx="1490162" cy="1846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61168</xdr:colOff>
      <xdr:row>1</xdr:row>
      <xdr:rowOff>17475</xdr:rowOff>
    </xdr:from>
    <xdr:to>
      <xdr:col>21</xdr:col>
      <xdr:colOff>8737</xdr:colOff>
      <xdr:row>4</xdr:row>
      <xdr:rowOff>183507</xdr:rowOff>
    </xdr:to>
    <xdr:sp macro="" textlink="">
      <xdr:nvSpPr>
        <xdr:cNvPr id="29" name="TextBox 28">
          <a:extLst>
            <a:ext uri="{FF2B5EF4-FFF2-40B4-BE49-F238E27FC236}">
              <a16:creationId xmlns:a16="http://schemas.microsoft.com/office/drawing/2014/main" id="{02F46F0A-1CE9-8C84-F97B-1C5A34D43C44}"/>
            </a:ext>
          </a:extLst>
        </xdr:cNvPr>
        <xdr:cNvSpPr txBox="1"/>
      </xdr:nvSpPr>
      <xdr:spPr>
        <a:xfrm>
          <a:off x="3373072" y="209723"/>
          <a:ext cx="9734725" cy="74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2">
                  <a:lumMod val="90000"/>
                  <a:lumOff val="10000"/>
                </a:schemeClr>
              </a:solidFill>
              <a:latin typeface="Lucida Fax" panose="02060602050505020204" pitchFamily="18" charset="0"/>
            </a:rPr>
            <a:t>Sales &amp; Logistics Analytics Dashboard</a:t>
          </a:r>
        </a:p>
      </xdr:txBody>
    </xdr:sp>
    <xdr:clientData/>
  </xdr:twoCellAnchor>
  <xdr:twoCellAnchor>
    <xdr:from>
      <xdr:col>3</xdr:col>
      <xdr:colOff>152644</xdr:colOff>
      <xdr:row>13</xdr:row>
      <xdr:rowOff>165101</xdr:rowOff>
    </xdr:from>
    <xdr:to>
      <xdr:col>9</xdr:col>
      <xdr:colOff>299183</xdr:colOff>
      <xdr:row>28</xdr:row>
      <xdr:rowOff>91587</xdr:rowOff>
    </xdr:to>
    <xdr:sp macro="" textlink="">
      <xdr:nvSpPr>
        <xdr:cNvPr id="30" name="Rectangle 29">
          <a:extLst>
            <a:ext uri="{FF2B5EF4-FFF2-40B4-BE49-F238E27FC236}">
              <a16:creationId xmlns:a16="http://schemas.microsoft.com/office/drawing/2014/main" id="{103D0D56-BC3E-15E5-AE15-2B75A9990A75}"/>
            </a:ext>
          </a:extLst>
        </xdr:cNvPr>
        <xdr:cNvSpPr/>
      </xdr:nvSpPr>
      <xdr:spPr>
        <a:xfrm>
          <a:off x="2248144" y="2641601"/>
          <a:ext cx="3804139" cy="2783986"/>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200" b="1">
              <a:solidFill>
                <a:schemeClr val="tx2">
                  <a:lumMod val="90000"/>
                  <a:lumOff val="10000"/>
                </a:schemeClr>
              </a:solidFill>
            </a:rPr>
            <a:t>Weekly Sales &amp; </a:t>
          </a:r>
          <a:r>
            <a:rPr lang="en-US" sz="1200" b="1">
              <a:solidFill>
                <a:schemeClr val="tx2"/>
              </a:solidFill>
            </a:rPr>
            <a:t>Order</a:t>
          </a:r>
          <a:r>
            <a:rPr lang="en-US" sz="1200" b="1">
              <a:solidFill>
                <a:schemeClr val="tx2">
                  <a:lumMod val="90000"/>
                  <a:lumOff val="10000"/>
                </a:schemeClr>
              </a:solidFill>
            </a:rPr>
            <a:t> Trend</a:t>
          </a:r>
        </a:p>
      </xdr:txBody>
    </xdr:sp>
    <xdr:clientData/>
  </xdr:twoCellAnchor>
  <xdr:twoCellAnchor>
    <xdr:from>
      <xdr:col>3</xdr:col>
      <xdr:colOff>226984</xdr:colOff>
      <xdr:row>16</xdr:row>
      <xdr:rowOff>91586</xdr:rowOff>
    </xdr:from>
    <xdr:to>
      <xdr:col>9</xdr:col>
      <xdr:colOff>183173</xdr:colOff>
      <xdr:row>27</xdr:row>
      <xdr:rowOff>150847</xdr:rowOff>
    </xdr:to>
    <xdr:graphicFrame macro="">
      <xdr:nvGraphicFramePr>
        <xdr:cNvPr id="15" name="Chart 1">
          <a:extLst>
            <a:ext uri="{FF2B5EF4-FFF2-40B4-BE49-F238E27FC236}">
              <a16:creationId xmlns:a16="http://schemas.microsoft.com/office/drawing/2014/main" id="{0ABE11FB-A296-1EB8-9CEC-006304AAA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491613</xdr:colOff>
      <xdr:row>14</xdr:row>
      <xdr:rowOff>6350</xdr:rowOff>
    </xdr:from>
    <xdr:to>
      <xdr:col>15</xdr:col>
      <xdr:colOff>225323</xdr:colOff>
      <xdr:row>28</xdr:row>
      <xdr:rowOff>81935</xdr:rowOff>
    </xdr:to>
    <xdr:sp macro="" textlink="">
      <xdr:nvSpPr>
        <xdr:cNvPr id="32" name="Rectangle 31">
          <a:extLst>
            <a:ext uri="{FF2B5EF4-FFF2-40B4-BE49-F238E27FC236}">
              <a16:creationId xmlns:a16="http://schemas.microsoft.com/office/drawing/2014/main" id="{59907E0A-8D88-E023-B9A5-B33528ABF116}"/>
            </a:ext>
          </a:extLst>
        </xdr:cNvPr>
        <xdr:cNvSpPr/>
      </xdr:nvSpPr>
      <xdr:spPr>
        <a:xfrm>
          <a:off x="6244713" y="2673350"/>
          <a:ext cx="3391310" cy="2742585"/>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Customer Purchase Preference by Order Mode &amp; Gender</a:t>
          </a:r>
        </a:p>
      </xdr:txBody>
    </xdr:sp>
    <xdr:clientData/>
  </xdr:twoCellAnchor>
  <xdr:twoCellAnchor editAs="oneCell">
    <xdr:from>
      <xdr:col>9</xdr:col>
      <xdr:colOff>599153</xdr:colOff>
      <xdr:row>17</xdr:row>
      <xdr:rowOff>102074</xdr:rowOff>
    </xdr:from>
    <xdr:to>
      <xdr:col>15</xdr:col>
      <xdr:colOff>78844</xdr:colOff>
      <xdr:row>27</xdr:row>
      <xdr:rowOff>145947</xdr:rowOff>
    </xdr:to>
    <xdr:pic>
      <xdr:nvPicPr>
        <xdr:cNvPr id="16" name="Picture 15">
          <a:extLst>
            <a:ext uri="{FF2B5EF4-FFF2-40B4-BE49-F238E27FC236}">
              <a16:creationId xmlns:a16="http://schemas.microsoft.com/office/drawing/2014/main" id="{73820DB5-79E2-71E5-622B-58D95C31D05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44879" y="3366691"/>
          <a:ext cx="3120699" cy="1964236"/>
        </a:xfrm>
        <a:prstGeom prst="rect">
          <a:avLst/>
        </a:prstGeom>
        <a:noFill/>
        <a:ln>
          <a:noFill/>
        </a:ln>
      </xdr:spPr>
    </xdr:pic>
    <xdr:clientData/>
  </xdr:twoCellAnchor>
  <xdr:twoCellAnchor>
    <xdr:from>
      <xdr:col>15</xdr:col>
      <xdr:colOff>336550</xdr:colOff>
      <xdr:row>14</xdr:row>
      <xdr:rowOff>25400</xdr:rowOff>
    </xdr:from>
    <xdr:to>
      <xdr:col>21</xdr:col>
      <xdr:colOff>82550</xdr:colOff>
      <xdr:row>28</xdr:row>
      <xdr:rowOff>82550</xdr:rowOff>
    </xdr:to>
    <xdr:sp macro="" textlink="">
      <xdr:nvSpPr>
        <xdr:cNvPr id="33" name="Rectangle 32">
          <a:extLst>
            <a:ext uri="{FF2B5EF4-FFF2-40B4-BE49-F238E27FC236}">
              <a16:creationId xmlns:a16="http://schemas.microsoft.com/office/drawing/2014/main" id="{48653DA6-B256-8361-A741-EFFD8A16B388}"/>
            </a:ext>
          </a:extLst>
        </xdr:cNvPr>
        <xdr:cNvSpPr/>
      </xdr:nvSpPr>
      <xdr:spPr>
        <a:xfrm>
          <a:off x="9747250" y="2692400"/>
          <a:ext cx="3403600" cy="2724150"/>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Orders Shipped by Delivery Time (Days)</a:t>
          </a:r>
        </a:p>
      </xdr:txBody>
    </xdr:sp>
    <xdr:clientData/>
  </xdr:twoCellAnchor>
  <xdr:twoCellAnchor>
    <xdr:from>
      <xdr:col>15</xdr:col>
      <xdr:colOff>498288</xdr:colOff>
      <xdr:row>16</xdr:row>
      <xdr:rowOff>120650</xdr:rowOff>
    </xdr:from>
    <xdr:to>
      <xdr:col>20</xdr:col>
      <xdr:colOff>563656</xdr:colOff>
      <xdr:row>28</xdr:row>
      <xdr:rowOff>45944</xdr:rowOff>
    </xdr:to>
    <xdr:graphicFrame macro="">
      <xdr:nvGraphicFramePr>
        <xdr:cNvPr id="18" name="Chart 17">
          <a:extLst>
            <a:ext uri="{FF2B5EF4-FFF2-40B4-BE49-F238E27FC236}">
              <a16:creationId xmlns:a16="http://schemas.microsoft.com/office/drawing/2014/main" id="{4BF964CE-3148-4C5B-BE34-A95C96AAB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172259</xdr:colOff>
      <xdr:row>29</xdr:row>
      <xdr:rowOff>70931</xdr:rowOff>
    </xdr:from>
    <xdr:to>
      <xdr:col>11</xdr:col>
      <xdr:colOff>432061</xdr:colOff>
      <xdr:row>44</xdr:row>
      <xdr:rowOff>30399</xdr:rowOff>
    </xdr:to>
    <xdr:sp macro="" textlink="">
      <xdr:nvSpPr>
        <xdr:cNvPr id="34" name="Rectangle 33">
          <a:extLst>
            <a:ext uri="{FF2B5EF4-FFF2-40B4-BE49-F238E27FC236}">
              <a16:creationId xmlns:a16="http://schemas.microsoft.com/office/drawing/2014/main" id="{97291C51-86CB-4AB1-442D-082BA43B032D}"/>
            </a:ext>
          </a:extLst>
        </xdr:cNvPr>
        <xdr:cNvSpPr/>
      </xdr:nvSpPr>
      <xdr:spPr>
        <a:xfrm>
          <a:off x="2273651" y="5481524"/>
          <a:ext cx="5130317" cy="2758050"/>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Top-Selling Products by Quantity Sold</a:t>
          </a:r>
        </a:p>
      </xdr:txBody>
    </xdr:sp>
    <xdr:clientData/>
  </xdr:twoCellAnchor>
  <xdr:twoCellAnchor>
    <xdr:from>
      <xdr:col>3</xdr:col>
      <xdr:colOff>303117</xdr:colOff>
      <xdr:row>30</xdr:row>
      <xdr:rowOff>147364</xdr:rowOff>
    </xdr:from>
    <xdr:to>
      <xdr:col>11</xdr:col>
      <xdr:colOff>284768</xdr:colOff>
      <xdr:row>44</xdr:row>
      <xdr:rowOff>15876</xdr:rowOff>
    </xdr:to>
    <xdr:graphicFrame macro="">
      <xdr:nvGraphicFramePr>
        <xdr:cNvPr id="19" name="Chart 1">
          <a:extLst>
            <a:ext uri="{FF2B5EF4-FFF2-40B4-BE49-F238E27FC236}">
              <a16:creationId xmlns:a16="http://schemas.microsoft.com/office/drawing/2014/main" id="{B8FC62C8-2699-839E-57D1-C3D33A57C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39686</xdr:colOff>
      <xdr:row>29</xdr:row>
      <xdr:rowOff>67674</xdr:rowOff>
    </xdr:from>
    <xdr:to>
      <xdr:col>16</xdr:col>
      <xdr:colOff>540076</xdr:colOff>
      <xdr:row>43</xdr:row>
      <xdr:rowOff>182808</xdr:rowOff>
    </xdr:to>
    <xdr:sp macro="" textlink="">
      <xdr:nvSpPr>
        <xdr:cNvPr id="36" name="Rectangle 35">
          <a:extLst>
            <a:ext uri="{FF2B5EF4-FFF2-40B4-BE49-F238E27FC236}">
              <a16:creationId xmlns:a16="http://schemas.microsoft.com/office/drawing/2014/main" id="{150122A0-8579-4401-6150-42BF3DD1BCFF}"/>
            </a:ext>
          </a:extLst>
        </xdr:cNvPr>
        <xdr:cNvSpPr/>
      </xdr:nvSpPr>
      <xdr:spPr>
        <a:xfrm>
          <a:off x="7620408" y="5478267"/>
          <a:ext cx="2935647" cy="2727144"/>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Orders by Purchase Channel</a:t>
          </a:r>
        </a:p>
      </xdr:txBody>
    </xdr:sp>
    <xdr:clientData/>
  </xdr:twoCellAnchor>
  <xdr:twoCellAnchor>
    <xdr:from>
      <xdr:col>12</xdr:col>
      <xdr:colOff>508081</xdr:colOff>
      <xdr:row>31</xdr:row>
      <xdr:rowOff>53680</xdr:rowOff>
    </xdr:from>
    <xdr:to>
      <xdr:col>16</xdr:col>
      <xdr:colOff>256455</xdr:colOff>
      <xdr:row>42</xdr:row>
      <xdr:rowOff>172744</xdr:rowOff>
    </xdr:to>
    <xdr:graphicFrame macro="">
      <xdr:nvGraphicFramePr>
        <xdr:cNvPr id="20" name="Chart 2">
          <a:extLst>
            <a:ext uri="{FF2B5EF4-FFF2-40B4-BE49-F238E27FC236}">
              <a16:creationId xmlns:a16="http://schemas.microsoft.com/office/drawing/2014/main" id="{3F23FA66-12E9-E3D2-4911-6D4CDED07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206210</xdr:colOff>
      <xdr:row>29</xdr:row>
      <xdr:rowOff>58917</xdr:rowOff>
    </xdr:from>
    <xdr:to>
      <xdr:col>21</xdr:col>
      <xdr:colOff>9818</xdr:colOff>
      <xdr:row>44</xdr:row>
      <xdr:rowOff>19639</xdr:rowOff>
    </xdr:to>
    <xdr:sp macro="" textlink="">
      <xdr:nvSpPr>
        <xdr:cNvPr id="37" name="Rectangle 36">
          <a:extLst>
            <a:ext uri="{FF2B5EF4-FFF2-40B4-BE49-F238E27FC236}">
              <a16:creationId xmlns:a16="http://schemas.microsoft.com/office/drawing/2014/main" id="{916120C2-0431-6871-A3A2-EF53D01D2053}"/>
            </a:ext>
          </a:extLst>
        </xdr:cNvPr>
        <xdr:cNvSpPr/>
      </xdr:nvSpPr>
      <xdr:spPr>
        <a:xfrm>
          <a:off x="10831004" y="5469510"/>
          <a:ext cx="2238866" cy="2759304"/>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Monthly Order Volume</a:t>
          </a:r>
        </a:p>
      </xdr:txBody>
    </xdr:sp>
    <xdr:clientData/>
  </xdr:twoCellAnchor>
  <xdr:twoCellAnchor>
    <xdr:from>
      <xdr:col>17</xdr:col>
      <xdr:colOff>402603</xdr:colOff>
      <xdr:row>30</xdr:row>
      <xdr:rowOff>176753</xdr:rowOff>
    </xdr:from>
    <xdr:to>
      <xdr:col>21</xdr:col>
      <xdr:colOff>39278</xdr:colOff>
      <xdr:row>42</xdr:row>
      <xdr:rowOff>117835</xdr:rowOff>
    </xdr:to>
    <xdr:graphicFrame macro="">
      <xdr:nvGraphicFramePr>
        <xdr:cNvPr id="24" name="Chart 23">
          <a:extLst>
            <a:ext uri="{FF2B5EF4-FFF2-40B4-BE49-F238E27FC236}">
              <a16:creationId xmlns:a16="http://schemas.microsoft.com/office/drawing/2014/main" id="{1330641F-0439-48C6-B52F-91D44A856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324046</xdr:colOff>
      <xdr:row>14</xdr:row>
      <xdr:rowOff>9820</xdr:rowOff>
    </xdr:from>
    <xdr:to>
      <xdr:col>26</xdr:col>
      <xdr:colOff>549897</xdr:colOff>
      <xdr:row>44</xdr:row>
      <xdr:rowOff>9820</xdr:rowOff>
    </xdr:to>
    <xdr:sp macro="" textlink="">
      <xdr:nvSpPr>
        <xdr:cNvPr id="38" name="Rectangle 37">
          <a:extLst>
            <a:ext uri="{FF2B5EF4-FFF2-40B4-BE49-F238E27FC236}">
              <a16:creationId xmlns:a16="http://schemas.microsoft.com/office/drawing/2014/main" id="{66E6DE69-EDA8-A508-F7B0-88737FE08345}"/>
            </a:ext>
          </a:extLst>
        </xdr:cNvPr>
        <xdr:cNvSpPr/>
      </xdr:nvSpPr>
      <xdr:spPr>
        <a:xfrm>
          <a:off x="13384098" y="2621830"/>
          <a:ext cx="3269923" cy="5597165"/>
        </a:xfrm>
        <a:prstGeom prst="rect">
          <a:avLst/>
        </a:prstGeom>
        <a:solidFill>
          <a:schemeClr val="tx2">
            <a:lumMod val="10000"/>
            <a:lumOff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rPr>
            <a:t>Order Distribution Across California Counties</a:t>
          </a:r>
        </a:p>
      </xdr:txBody>
    </xdr:sp>
    <xdr:clientData/>
  </xdr:twoCellAnchor>
  <xdr:twoCellAnchor>
    <xdr:from>
      <xdr:col>21</xdr:col>
      <xdr:colOff>549896</xdr:colOff>
      <xdr:row>16</xdr:row>
      <xdr:rowOff>137474</xdr:rowOff>
    </xdr:from>
    <xdr:to>
      <xdr:col>26</xdr:col>
      <xdr:colOff>304406</xdr:colOff>
      <xdr:row>43</xdr:row>
      <xdr:rowOff>39277</xdr:rowOff>
    </xdr:to>
    <mc:AlternateContent xmlns:mc="http://schemas.openxmlformats.org/markup-compatibility/2006">
      <mc:Choice xmlns:cx4="http://schemas.microsoft.com/office/drawing/2016/5/10/chartex" Requires="cx4">
        <xdr:graphicFrame macro="">
          <xdr:nvGraphicFramePr>
            <xdr:cNvPr id="21" name="Chart 4">
              <a:extLst>
                <a:ext uri="{FF2B5EF4-FFF2-40B4-BE49-F238E27FC236}">
                  <a16:creationId xmlns:a16="http://schemas.microsoft.com/office/drawing/2014/main" id="{B1E01692-71A6-318C-2895-107AE3230E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618196" y="3185474"/>
              <a:ext cx="2802510" cy="50453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85820</xdr:colOff>
      <xdr:row>28</xdr:row>
      <xdr:rowOff>171763</xdr:rowOff>
    </xdr:from>
    <xdr:to>
      <xdr:col>2</xdr:col>
      <xdr:colOff>157960</xdr:colOff>
      <xdr:row>43</xdr:row>
      <xdr:rowOff>28107</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E64A9A2A-B8EC-4200-9BCB-5B23C8480D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5820" y="5450201"/>
              <a:ext cx="1828312" cy="2684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562320</xdr:colOff>
      <xdr:row>6</xdr:row>
      <xdr:rowOff>103283</xdr:rowOff>
    </xdr:from>
    <xdr:to>
      <xdr:col>16</xdr:col>
      <xdr:colOff>516416</xdr:colOff>
      <xdr:row>12</xdr:row>
      <xdr:rowOff>195090</xdr:rowOff>
    </xdr:to>
    <xdr:sp macro="" textlink="">
      <xdr:nvSpPr>
        <xdr:cNvPr id="46" name="Rectangle 45">
          <a:extLst>
            <a:ext uri="{FF2B5EF4-FFF2-40B4-BE49-F238E27FC236}">
              <a16:creationId xmlns:a16="http://schemas.microsoft.com/office/drawing/2014/main" id="{E062AB51-517D-4FB9-B95E-A27C171ED72D}"/>
            </a:ext>
          </a:extLst>
        </xdr:cNvPr>
        <xdr:cNvSpPr/>
      </xdr:nvSpPr>
      <xdr:spPr>
        <a:xfrm>
          <a:off x="2662410" y="1273825"/>
          <a:ext cx="7860994" cy="1262349"/>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r>
            <a:rPr lang="en-US" sz="1600">
              <a:solidFill>
                <a:schemeClr val="tx2"/>
              </a:solidFill>
            </a:rPr>
            <a:t>This interactive dashboard provides a comprehensive overview of sales, customer behavior, product performance, and delivery efficiency. Use the slicers to explore key business insights across different purchase channels, customer segments, and locations.</a:t>
          </a:r>
        </a:p>
      </xdr:txBody>
    </xdr:sp>
    <xdr:clientData/>
  </xdr:twoCellAnchor>
  <xdr:twoCellAnchor>
    <xdr:from>
      <xdr:col>0</xdr:col>
      <xdr:colOff>138906</xdr:colOff>
      <xdr:row>1</xdr:row>
      <xdr:rowOff>69452</xdr:rowOff>
    </xdr:from>
    <xdr:to>
      <xdr:col>2</xdr:col>
      <xdr:colOff>149607</xdr:colOff>
      <xdr:row>7</xdr:row>
      <xdr:rowOff>114698</xdr:rowOff>
    </xdr:to>
    <xdr:sp macro="" textlink="">
      <xdr:nvSpPr>
        <xdr:cNvPr id="4" name="Rectangle 3">
          <a:extLst>
            <a:ext uri="{FF2B5EF4-FFF2-40B4-BE49-F238E27FC236}">
              <a16:creationId xmlns:a16="http://schemas.microsoft.com/office/drawing/2014/main" id="{24568772-7508-E89D-7165-2F7C8E5EFC85}"/>
            </a:ext>
          </a:extLst>
        </xdr:cNvPr>
        <xdr:cNvSpPr/>
      </xdr:nvSpPr>
      <xdr:spPr>
        <a:xfrm>
          <a:off x="138906" y="258955"/>
          <a:ext cx="1766094" cy="1182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133861</xdr:colOff>
      <xdr:row>0</xdr:row>
      <xdr:rowOff>0</xdr:rowOff>
    </xdr:from>
    <xdr:to>
      <xdr:col>1</xdr:col>
      <xdr:colOff>1346189</xdr:colOff>
      <xdr:row>8</xdr:row>
      <xdr:rowOff>57726</xdr:rowOff>
    </xdr:to>
    <xdr:pic>
      <xdr:nvPicPr>
        <xdr:cNvPr id="17" name="Picture 16">
          <a:extLst>
            <a:ext uri="{FF2B5EF4-FFF2-40B4-BE49-F238E27FC236}">
              <a16:creationId xmlns:a16="http://schemas.microsoft.com/office/drawing/2014/main" id="{F08A63BA-BD91-BDF4-4621-A5CDFA2345A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3861" y="0"/>
          <a:ext cx="1552919" cy="1581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 Varsha (FT D AA IN DASS WCC WRTP-OPT DNT)" refreshedDate="46233.662891203705" createdVersion="8" refreshedVersion="8" minRefreshableVersion="3" recordCount="2400" xr:uid="{867A3D27-913E-47E9-890A-C8F8DAB657A3}">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347478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n v="5"/>
    <x v="0"/>
    <x v="0"/>
  </r>
  <r>
    <s v="TX500002"/>
    <x v="1"/>
    <x v="1"/>
    <n v="30.6"/>
    <n v="61.2"/>
    <x v="0"/>
    <d v="2025-01-03T00:00:00"/>
    <s v="M"/>
    <x v="0"/>
    <x v="0"/>
    <x v="0"/>
    <x v="1"/>
    <n v="2"/>
    <x v="0"/>
    <x v="1"/>
  </r>
  <r>
    <s v="TX500003"/>
    <x v="2"/>
    <x v="2"/>
    <n v="109.4"/>
    <n v="328.20000000000005"/>
    <x v="0"/>
    <d v="2025-01-04T00:00:00"/>
    <s v="F"/>
    <x v="0"/>
    <x v="1"/>
    <x v="0"/>
    <x v="2"/>
    <n v="3"/>
    <x v="0"/>
    <x v="2"/>
  </r>
  <r>
    <s v="TX500004"/>
    <x v="3"/>
    <x v="3"/>
    <n v="37.700000000000003"/>
    <n v="263.90000000000003"/>
    <x v="0"/>
    <d v="2025-01-02T00:00:00"/>
    <s v="F"/>
    <x v="0"/>
    <x v="0"/>
    <x v="0"/>
    <x v="2"/>
    <n v="1"/>
    <x v="0"/>
    <x v="2"/>
  </r>
  <r>
    <s v="TX500005"/>
    <x v="4"/>
    <x v="2"/>
    <n v="56.7"/>
    <n v="170.10000000000002"/>
    <x v="0"/>
    <d v="2025-01-04T00:00:00"/>
    <s v="F"/>
    <x v="0"/>
    <x v="2"/>
    <x v="0"/>
    <x v="3"/>
    <n v="3"/>
    <x v="0"/>
    <x v="2"/>
  </r>
  <r>
    <s v="TX500006"/>
    <x v="1"/>
    <x v="4"/>
    <n v="83.5"/>
    <n v="1002"/>
    <x v="0"/>
    <d v="2025-01-04T00:00:00"/>
    <s v="M"/>
    <x v="1"/>
    <x v="0"/>
    <x v="0"/>
    <x v="3"/>
    <n v="3"/>
    <x v="0"/>
    <x v="1"/>
  </r>
  <r>
    <s v="TX500007"/>
    <x v="5"/>
    <x v="0"/>
    <n v="55.3"/>
    <n v="55.3"/>
    <x v="0"/>
    <d v="2025-01-02T00:00:00"/>
    <s v="F"/>
    <x v="0"/>
    <x v="0"/>
    <x v="0"/>
    <x v="3"/>
    <n v="1"/>
    <x v="0"/>
    <x v="2"/>
  </r>
  <r>
    <s v="TX500008"/>
    <x v="6"/>
    <x v="1"/>
    <n v="40.299999999999997"/>
    <n v="80.599999999999994"/>
    <x v="0"/>
    <d v="2025-01-02T00:00:00"/>
    <s v="M"/>
    <x v="2"/>
    <x v="2"/>
    <x v="0"/>
    <x v="3"/>
    <n v="1"/>
    <x v="0"/>
    <x v="1"/>
  </r>
  <r>
    <s v="TX500009"/>
    <x v="7"/>
    <x v="5"/>
    <n v="35.700000000000003"/>
    <n v="392.70000000000005"/>
    <x v="0"/>
    <d v="2025-01-02T00:00:00"/>
    <s v="F"/>
    <x v="0"/>
    <x v="0"/>
    <x v="0"/>
    <x v="3"/>
    <n v="1"/>
    <x v="0"/>
    <x v="2"/>
  </r>
  <r>
    <s v="TX500010"/>
    <x v="8"/>
    <x v="3"/>
    <n v="22.4"/>
    <n v="156.79999999999998"/>
    <x v="0"/>
    <d v="2025-01-04T00:00:00"/>
    <s v="M"/>
    <x v="0"/>
    <x v="1"/>
    <x v="0"/>
    <x v="3"/>
    <n v="3"/>
    <x v="0"/>
    <x v="1"/>
  </r>
  <r>
    <s v="TX500011"/>
    <x v="9"/>
    <x v="1"/>
    <n v="54.4"/>
    <n v="108.8"/>
    <x v="0"/>
    <d v="2025-01-07T00:00:00"/>
    <s v="F"/>
    <x v="0"/>
    <x v="0"/>
    <x v="0"/>
    <x v="3"/>
    <n v="6"/>
    <x v="0"/>
    <x v="2"/>
  </r>
  <r>
    <s v="TX500012"/>
    <x v="9"/>
    <x v="1"/>
    <n v="49"/>
    <n v="98"/>
    <x v="0"/>
    <d v="2025-01-03T00:00:00"/>
    <s v="F"/>
    <x v="2"/>
    <x v="1"/>
    <x v="0"/>
    <x v="3"/>
    <n v="2"/>
    <x v="0"/>
    <x v="2"/>
  </r>
  <r>
    <s v="TX500013"/>
    <x v="5"/>
    <x v="3"/>
    <n v="118.6"/>
    <n v="830.19999999999993"/>
    <x v="0"/>
    <d v="2025-01-05T00:00:00"/>
    <s v="F"/>
    <x v="1"/>
    <x v="0"/>
    <x v="0"/>
    <x v="4"/>
    <n v="4"/>
    <x v="0"/>
    <x v="2"/>
  </r>
  <r>
    <s v="TX500014"/>
    <x v="6"/>
    <x v="6"/>
    <n v="88.4"/>
    <n v="2386.8000000000002"/>
    <x v="0"/>
    <d v="2025-01-08T00:00:00"/>
    <s v="M"/>
    <x v="3"/>
    <x v="0"/>
    <x v="0"/>
    <x v="5"/>
    <n v="7"/>
    <x v="0"/>
    <x v="1"/>
  </r>
  <r>
    <s v="TX500015"/>
    <x v="10"/>
    <x v="0"/>
    <n v="66.7"/>
    <n v="66.7"/>
    <x v="0"/>
    <d v="2025-01-04T00:00:00"/>
    <s v="M"/>
    <x v="0"/>
    <x v="0"/>
    <x v="0"/>
    <x v="6"/>
    <n v="3"/>
    <x v="0"/>
    <x v="1"/>
  </r>
  <r>
    <s v="TX500016"/>
    <x v="9"/>
    <x v="7"/>
    <n v="30.9"/>
    <n v="309"/>
    <x v="0"/>
    <d v="2025-01-02T00:00:00"/>
    <s v="M"/>
    <x v="1"/>
    <x v="2"/>
    <x v="0"/>
    <x v="6"/>
    <n v="1"/>
    <x v="0"/>
    <x v="1"/>
  </r>
  <r>
    <s v="TX500017"/>
    <x v="4"/>
    <x v="2"/>
    <n v="31.1"/>
    <n v="93.300000000000011"/>
    <x v="0"/>
    <d v="2025-01-02T00:00:00"/>
    <s v="F"/>
    <x v="0"/>
    <x v="1"/>
    <x v="0"/>
    <x v="6"/>
    <n v="1"/>
    <x v="0"/>
    <x v="2"/>
  </r>
  <r>
    <s v="TX500018"/>
    <x v="7"/>
    <x v="2"/>
    <n v="36.6"/>
    <n v="109.80000000000001"/>
    <x v="0"/>
    <d v="2025-01-04T00:00:00"/>
    <s v="F"/>
    <x v="0"/>
    <x v="0"/>
    <x v="0"/>
    <x v="7"/>
    <n v="3"/>
    <x v="0"/>
    <x v="2"/>
  </r>
  <r>
    <s v="TX500019"/>
    <x v="6"/>
    <x v="8"/>
    <n v="51.1"/>
    <n v="408.8"/>
    <x v="0"/>
    <d v="2025-01-04T00:00:00"/>
    <s v="F"/>
    <x v="2"/>
    <x v="3"/>
    <x v="0"/>
    <x v="7"/>
    <n v="3"/>
    <x v="0"/>
    <x v="2"/>
  </r>
  <r>
    <s v="TX500020"/>
    <x v="9"/>
    <x v="0"/>
    <n v="25.2"/>
    <n v="25.2"/>
    <x v="0"/>
    <d v="2025-01-02T00:00:00"/>
    <s v="F"/>
    <x v="1"/>
    <x v="2"/>
    <x v="0"/>
    <x v="8"/>
    <n v="1"/>
    <x v="0"/>
    <x v="2"/>
  </r>
  <r>
    <s v="TX500021"/>
    <x v="9"/>
    <x v="9"/>
    <n v="43.8"/>
    <n v="219"/>
    <x v="0"/>
    <d v="2025-01-04T00:00:00"/>
    <s v="F"/>
    <x v="2"/>
    <x v="0"/>
    <x v="0"/>
    <x v="8"/>
    <n v="3"/>
    <x v="0"/>
    <x v="2"/>
  </r>
  <r>
    <s v="TX500022"/>
    <x v="8"/>
    <x v="4"/>
    <n v="46.7"/>
    <n v="560.40000000000009"/>
    <x v="0"/>
    <d v="2025-01-02T00:00:00"/>
    <s v="F"/>
    <x v="1"/>
    <x v="1"/>
    <x v="0"/>
    <x v="8"/>
    <n v="1"/>
    <x v="0"/>
    <x v="2"/>
  </r>
  <r>
    <s v="TX500023"/>
    <x v="3"/>
    <x v="10"/>
    <n v="79.900000000000006"/>
    <n v="1518.1000000000001"/>
    <x v="0"/>
    <d v="2025-01-02T00:00:00"/>
    <s v="M"/>
    <x v="0"/>
    <x v="2"/>
    <x v="0"/>
    <x v="8"/>
    <n v="1"/>
    <x v="0"/>
    <x v="1"/>
  </r>
  <r>
    <s v="TX500024"/>
    <x v="11"/>
    <x v="8"/>
    <n v="26.4"/>
    <n v="211.2"/>
    <x v="0"/>
    <d v="2025-01-02T00:00:00"/>
    <s v="F"/>
    <x v="3"/>
    <x v="0"/>
    <x v="0"/>
    <x v="8"/>
    <n v="1"/>
    <x v="0"/>
    <x v="2"/>
  </r>
  <r>
    <s v="TX500025"/>
    <x v="12"/>
    <x v="8"/>
    <n v="88.8"/>
    <n v="710.4"/>
    <x v="0"/>
    <d v="2025-01-02T00:00:00"/>
    <s v="F"/>
    <x v="4"/>
    <x v="0"/>
    <x v="0"/>
    <x v="8"/>
    <n v="1"/>
    <x v="0"/>
    <x v="2"/>
  </r>
  <r>
    <s v="TX500026"/>
    <x v="0"/>
    <x v="7"/>
    <n v="17.5"/>
    <n v="175"/>
    <x v="0"/>
    <d v="2025-01-02T00:00:00"/>
    <s v="F"/>
    <x v="2"/>
    <x v="0"/>
    <x v="0"/>
    <x v="9"/>
    <n v="1"/>
    <x v="0"/>
    <x v="2"/>
  </r>
  <r>
    <s v="TX500027"/>
    <x v="1"/>
    <x v="11"/>
    <n v="38.700000000000003"/>
    <n v="348.3"/>
    <x v="0"/>
    <d v="2025-01-04T00:00:00"/>
    <s v="M"/>
    <x v="1"/>
    <x v="0"/>
    <x v="0"/>
    <x v="10"/>
    <n v="3"/>
    <x v="0"/>
    <x v="1"/>
  </r>
  <r>
    <s v="TX500028"/>
    <x v="13"/>
    <x v="12"/>
    <n v="57.2"/>
    <n v="228.8"/>
    <x v="0"/>
    <d v="2025-01-03T00:00:00"/>
    <s v=""/>
    <x v="1"/>
    <x v="2"/>
    <x v="0"/>
    <x v="11"/>
    <n v="2"/>
    <x v="0"/>
    <x v="0"/>
  </r>
  <r>
    <s v="TX500029"/>
    <x v="6"/>
    <x v="9"/>
    <n v="50.9"/>
    <n v="254.5"/>
    <x v="0"/>
    <d v="2025-01-07T00:00:00"/>
    <s v=""/>
    <x v="1"/>
    <x v="2"/>
    <x v="0"/>
    <x v="12"/>
    <n v="6"/>
    <x v="0"/>
    <x v="0"/>
  </r>
  <r>
    <s v="TX500030"/>
    <x v="14"/>
    <x v="3"/>
    <n v="41"/>
    <n v="287"/>
    <x v="0"/>
    <d v="2025-01-05T00:00:00"/>
    <s v="F"/>
    <x v="1"/>
    <x v="0"/>
    <x v="0"/>
    <x v="13"/>
    <n v="4"/>
    <x v="0"/>
    <x v="2"/>
  </r>
  <r>
    <s v="TX500031"/>
    <x v="8"/>
    <x v="3"/>
    <n v="19.100000000000001"/>
    <n v="133.70000000000002"/>
    <x v="0"/>
    <d v="2025-01-05T00:00:00"/>
    <s v="M"/>
    <x v="0"/>
    <x v="2"/>
    <x v="0"/>
    <x v="14"/>
    <n v="4"/>
    <x v="0"/>
    <x v="1"/>
  </r>
  <r>
    <s v="TX500032"/>
    <x v="2"/>
    <x v="9"/>
    <n v="166.1"/>
    <n v="830.5"/>
    <x v="0"/>
    <d v="2025-01-04T00:00:00"/>
    <s v="M"/>
    <x v="0"/>
    <x v="0"/>
    <x v="0"/>
    <x v="15"/>
    <n v="3"/>
    <x v="0"/>
    <x v="1"/>
  </r>
  <r>
    <s v="TX500033"/>
    <x v="4"/>
    <x v="2"/>
    <n v="29.9"/>
    <n v="89.699999999999989"/>
    <x v="0"/>
    <d v="2025-01-02T00:00:00"/>
    <s v="M"/>
    <x v="3"/>
    <x v="0"/>
    <x v="0"/>
    <x v="3"/>
    <n v="1"/>
    <x v="0"/>
    <x v="1"/>
  </r>
  <r>
    <s v="TX500034"/>
    <x v="10"/>
    <x v="13"/>
    <n v="21.7"/>
    <n v="130.19999999999999"/>
    <x v="0"/>
    <d v="2025-01-03T00:00:00"/>
    <s v="O"/>
    <x v="2"/>
    <x v="2"/>
    <x v="0"/>
    <x v="3"/>
    <n v="2"/>
    <x v="0"/>
    <x v="3"/>
  </r>
  <r>
    <s v="TX500035"/>
    <x v="11"/>
    <x v="1"/>
    <n v="32"/>
    <n v="64"/>
    <x v="0"/>
    <d v="2025-01-04T00:00:00"/>
    <s v="M"/>
    <x v="0"/>
    <x v="2"/>
    <x v="0"/>
    <x v="3"/>
    <n v="3"/>
    <x v="0"/>
    <x v="1"/>
  </r>
  <r>
    <s v="TX500036"/>
    <x v="8"/>
    <x v="1"/>
    <n v="15.8"/>
    <n v="31.6"/>
    <x v="0"/>
    <d v="2025-01-02T00:00:00"/>
    <s v="M"/>
    <x v="4"/>
    <x v="2"/>
    <x v="0"/>
    <x v="3"/>
    <n v="1"/>
    <x v="0"/>
    <x v="1"/>
  </r>
  <r>
    <s v="TX500037"/>
    <x v="2"/>
    <x v="14"/>
    <n v="203.1"/>
    <n v="3452.7"/>
    <x v="0"/>
    <d v="2025-01-05T00:00:00"/>
    <s v="M"/>
    <x v="3"/>
    <x v="1"/>
    <x v="0"/>
    <x v="3"/>
    <n v="4"/>
    <x v="0"/>
    <x v="1"/>
  </r>
  <r>
    <s v="TX500038"/>
    <x v="7"/>
    <x v="15"/>
    <n v="39"/>
    <n v="507"/>
    <x v="0"/>
    <d v="2025-01-07T00:00:00"/>
    <s v="M"/>
    <x v="0"/>
    <x v="2"/>
    <x v="0"/>
    <x v="3"/>
    <n v="6"/>
    <x v="0"/>
    <x v="1"/>
  </r>
  <r>
    <s v="TX500039"/>
    <x v="10"/>
    <x v="0"/>
    <n v="26.5"/>
    <n v="26.5"/>
    <x v="1"/>
    <d v="2025-01-03T00:00:00"/>
    <s v="M"/>
    <x v="2"/>
    <x v="0"/>
    <x v="0"/>
    <x v="3"/>
    <n v="1"/>
    <x v="0"/>
    <x v="1"/>
  </r>
  <r>
    <s v="TX500040"/>
    <x v="5"/>
    <x v="0"/>
    <n v="43.1"/>
    <n v="43.1"/>
    <x v="1"/>
    <d v="2025-01-03T00:00:00"/>
    <s v="F"/>
    <x v="2"/>
    <x v="1"/>
    <x v="0"/>
    <x v="3"/>
    <n v="1"/>
    <x v="0"/>
    <x v="2"/>
  </r>
  <r>
    <s v="TX500041"/>
    <x v="1"/>
    <x v="2"/>
    <n v="139"/>
    <n v="417"/>
    <x v="1"/>
    <d v="2025-01-03T00:00:00"/>
    <s v="F"/>
    <x v="4"/>
    <x v="2"/>
    <x v="0"/>
    <x v="3"/>
    <n v="1"/>
    <x v="0"/>
    <x v="2"/>
  </r>
  <r>
    <s v="TX500042"/>
    <x v="12"/>
    <x v="0"/>
    <n v="80.7"/>
    <n v="80.7"/>
    <x v="1"/>
    <d v="2025-01-03T00:00:00"/>
    <s v="M"/>
    <x v="0"/>
    <x v="2"/>
    <x v="0"/>
    <x v="16"/>
    <n v="1"/>
    <x v="0"/>
    <x v="1"/>
  </r>
  <r>
    <s v="TX500043"/>
    <x v="4"/>
    <x v="1"/>
    <n v="54.5"/>
    <n v="109"/>
    <x v="1"/>
    <d v="2025-01-04T00:00:00"/>
    <s v="M"/>
    <x v="1"/>
    <x v="1"/>
    <x v="0"/>
    <x v="6"/>
    <n v="2"/>
    <x v="0"/>
    <x v="1"/>
  </r>
  <r>
    <s v="TX500044"/>
    <x v="6"/>
    <x v="2"/>
    <n v="68.599999999999994"/>
    <n v="205.79999999999998"/>
    <x v="1"/>
    <d v="2025-01-02T00:00:00"/>
    <s v="F"/>
    <x v="0"/>
    <x v="1"/>
    <x v="0"/>
    <x v="8"/>
    <n v="0"/>
    <x v="0"/>
    <x v="2"/>
  </r>
  <r>
    <s v="TX500045"/>
    <x v="2"/>
    <x v="12"/>
    <n v="135.9"/>
    <n v="543.6"/>
    <x v="1"/>
    <d v="2025-01-03T00:00:00"/>
    <s v="F"/>
    <x v="2"/>
    <x v="2"/>
    <x v="0"/>
    <x v="8"/>
    <n v="1"/>
    <x v="0"/>
    <x v="2"/>
  </r>
  <r>
    <s v="TX500046"/>
    <x v="2"/>
    <x v="12"/>
    <n v="70.900000000000006"/>
    <n v="283.60000000000002"/>
    <x v="1"/>
    <d v="2025-01-03T00:00:00"/>
    <s v="F"/>
    <x v="0"/>
    <x v="0"/>
    <x v="0"/>
    <x v="17"/>
    <n v="1"/>
    <x v="0"/>
    <x v="2"/>
  </r>
  <r>
    <s v="TX500047"/>
    <x v="1"/>
    <x v="9"/>
    <n v="63.7"/>
    <n v="318.5"/>
    <x v="1"/>
    <d v="2025-01-03T00:00:00"/>
    <s v="M"/>
    <x v="1"/>
    <x v="1"/>
    <x v="0"/>
    <x v="9"/>
    <n v="1"/>
    <x v="0"/>
    <x v="1"/>
  </r>
  <r>
    <s v="TX500048"/>
    <x v="13"/>
    <x v="0"/>
    <n v="29.7"/>
    <n v="29.7"/>
    <x v="1"/>
    <d v="2025-01-04T00:00:00"/>
    <s v="F"/>
    <x v="1"/>
    <x v="0"/>
    <x v="0"/>
    <x v="11"/>
    <n v="2"/>
    <x v="0"/>
    <x v="2"/>
  </r>
  <r>
    <s v="TX500049"/>
    <x v="4"/>
    <x v="2"/>
    <n v="26.8"/>
    <n v="80.400000000000006"/>
    <x v="1"/>
    <d v="2025-01-11T00:00:00"/>
    <s v="F"/>
    <x v="1"/>
    <x v="2"/>
    <x v="0"/>
    <x v="11"/>
    <n v="9"/>
    <x v="0"/>
    <x v="2"/>
  </r>
  <r>
    <s v="TX500050"/>
    <x v="14"/>
    <x v="0"/>
    <n v="27"/>
    <n v="27"/>
    <x v="1"/>
    <d v="2025-01-04T00:00:00"/>
    <s v="F"/>
    <x v="0"/>
    <x v="0"/>
    <x v="0"/>
    <x v="18"/>
    <n v="2"/>
    <x v="0"/>
    <x v="2"/>
  </r>
  <r>
    <s v="TX500051"/>
    <x v="8"/>
    <x v="0"/>
    <n v="41.4"/>
    <n v="41.4"/>
    <x v="1"/>
    <d v="2025-01-03T00:00:00"/>
    <s v="M"/>
    <x v="1"/>
    <x v="2"/>
    <x v="0"/>
    <x v="19"/>
    <n v="1"/>
    <x v="0"/>
    <x v="1"/>
  </r>
  <r>
    <s v="TX500052"/>
    <x v="8"/>
    <x v="1"/>
    <n v="24.3"/>
    <n v="48.6"/>
    <x v="1"/>
    <d v="2025-01-05T00:00:00"/>
    <s v="F"/>
    <x v="1"/>
    <x v="0"/>
    <x v="0"/>
    <x v="19"/>
    <n v="3"/>
    <x v="0"/>
    <x v="2"/>
  </r>
  <r>
    <s v="TX500053"/>
    <x v="8"/>
    <x v="2"/>
    <n v="41.7"/>
    <n v="125.10000000000001"/>
    <x v="1"/>
    <d v="2025-01-04T00:00:00"/>
    <s v="M"/>
    <x v="0"/>
    <x v="2"/>
    <x v="0"/>
    <x v="20"/>
    <n v="2"/>
    <x v="0"/>
    <x v="1"/>
  </r>
  <r>
    <s v="TX500054"/>
    <x v="0"/>
    <x v="1"/>
    <n v="18"/>
    <n v="36"/>
    <x v="1"/>
    <d v="2025-01-03T00:00:00"/>
    <s v="F"/>
    <x v="0"/>
    <x v="2"/>
    <x v="0"/>
    <x v="21"/>
    <n v="1"/>
    <x v="0"/>
    <x v="2"/>
  </r>
  <r>
    <s v="TX500055"/>
    <x v="7"/>
    <x v="2"/>
    <n v="91.3"/>
    <n v="273.89999999999998"/>
    <x v="1"/>
    <d v="2025-01-05T00:00:00"/>
    <s v="M"/>
    <x v="2"/>
    <x v="2"/>
    <x v="0"/>
    <x v="3"/>
    <n v="3"/>
    <x v="0"/>
    <x v="1"/>
  </r>
  <r>
    <s v="TX500056"/>
    <x v="8"/>
    <x v="8"/>
    <n v="19.3"/>
    <n v="154.4"/>
    <x v="1"/>
    <d v="2025-01-03T00:00:00"/>
    <s v="M"/>
    <x v="0"/>
    <x v="0"/>
    <x v="0"/>
    <x v="3"/>
    <n v="1"/>
    <x v="0"/>
    <x v="1"/>
  </r>
  <r>
    <s v="TX500057"/>
    <x v="12"/>
    <x v="15"/>
    <n v="63.2"/>
    <n v="821.6"/>
    <x v="1"/>
    <d v="2025-01-03T00:00:00"/>
    <s v="F"/>
    <x v="0"/>
    <x v="0"/>
    <x v="0"/>
    <x v="3"/>
    <n v="1"/>
    <x v="0"/>
    <x v="2"/>
  </r>
  <r>
    <s v="TX500058"/>
    <x v="10"/>
    <x v="11"/>
    <n v="33.299999999999997"/>
    <n v="299.7"/>
    <x v="2"/>
    <d v="2025-01-11T00:00:00"/>
    <s v="F"/>
    <x v="0"/>
    <x v="2"/>
    <x v="0"/>
    <x v="3"/>
    <n v="8"/>
    <x v="0"/>
    <x v="2"/>
  </r>
  <r>
    <s v="TX500059"/>
    <x v="7"/>
    <x v="1"/>
    <n v="64.2"/>
    <n v="128.4"/>
    <x v="2"/>
    <d v="2025-01-04T00:00:00"/>
    <s v="M"/>
    <x v="0"/>
    <x v="2"/>
    <x v="0"/>
    <x v="3"/>
    <n v="1"/>
    <x v="0"/>
    <x v="1"/>
  </r>
  <r>
    <s v="TX500060"/>
    <x v="9"/>
    <x v="2"/>
    <n v="23.1"/>
    <n v="69.300000000000011"/>
    <x v="2"/>
    <d v="2025-01-06T00:00:00"/>
    <s v="F"/>
    <x v="1"/>
    <x v="2"/>
    <x v="0"/>
    <x v="3"/>
    <n v="3"/>
    <x v="0"/>
    <x v="2"/>
  </r>
  <r>
    <s v="TX500061"/>
    <x v="15"/>
    <x v="1"/>
    <n v="71.099999999999994"/>
    <n v="142.19999999999999"/>
    <x v="2"/>
    <d v="2025-01-05T00:00:00"/>
    <s v="F"/>
    <x v="3"/>
    <x v="1"/>
    <x v="0"/>
    <x v="3"/>
    <n v="2"/>
    <x v="0"/>
    <x v="2"/>
  </r>
  <r>
    <s v="TX500062"/>
    <x v="0"/>
    <x v="1"/>
    <n v="11.5"/>
    <n v="23"/>
    <x v="2"/>
    <d v="2025-01-04T00:00:00"/>
    <s v="F"/>
    <x v="0"/>
    <x v="0"/>
    <x v="0"/>
    <x v="3"/>
    <n v="1"/>
    <x v="0"/>
    <x v="2"/>
  </r>
  <r>
    <s v="TX500063"/>
    <x v="15"/>
    <x v="10"/>
    <n v="69.2"/>
    <n v="1314.8"/>
    <x v="2"/>
    <d v="2025-01-08T00:00:00"/>
    <s v="F"/>
    <x v="0"/>
    <x v="0"/>
    <x v="0"/>
    <x v="3"/>
    <n v="5"/>
    <x v="0"/>
    <x v="2"/>
  </r>
  <r>
    <s v="TX500064"/>
    <x v="0"/>
    <x v="0"/>
    <n v="26.8"/>
    <n v="26.8"/>
    <x v="2"/>
    <d v="2025-01-04T00:00:00"/>
    <s v="M"/>
    <x v="2"/>
    <x v="4"/>
    <x v="0"/>
    <x v="3"/>
    <n v="1"/>
    <x v="0"/>
    <x v="1"/>
  </r>
  <r>
    <s v="TX500065"/>
    <x v="16"/>
    <x v="2"/>
    <n v="31.2"/>
    <n v="93.6"/>
    <x v="2"/>
    <d v="2025-01-06T00:00:00"/>
    <s v="F"/>
    <x v="0"/>
    <x v="0"/>
    <x v="0"/>
    <x v="3"/>
    <n v="3"/>
    <x v="0"/>
    <x v="2"/>
  </r>
  <r>
    <s v="TX500066"/>
    <x v="12"/>
    <x v="1"/>
    <n v="113.2"/>
    <n v="226.4"/>
    <x v="2"/>
    <d v="2025-01-04T00:00:00"/>
    <s v="F"/>
    <x v="4"/>
    <x v="0"/>
    <x v="0"/>
    <x v="3"/>
    <n v="1"/>
    <x v="0"/>
    <x v="2"/>
  </r>
  <r>
    <s v="TX500067"/>
    <x v="10"/>
    <x v="8"/>
    <n v="21"/>
    <n v="168"/>
    <x v="2"/>
    <d v="2025-01-04T00:00:00"/>
    <s v="M"/>
    <x v="0"/>
    <x v="0"/>
    <x v="0"/>
    <x v="6"/>
    <n v="1"/>
    <x v="0"/>
    <x v="1"/>
  </r>
  <r>
    <s v="TX500068"/>
    <x v="1"/>
    <x v="1"/>
    <n v="89.1"/>
    <n v="178.2"/>
    <x v="2"/>
    <d v="2025-01-04T00:00:00"/>
    <s v="F"/>
    <x v="2"/>
    <x v="2"/>
    <x v="0"/>
    <x v="6"/>
    <n v="1"/>
    <x v="0"/>
    <x v="2"/>
  </r>
  <r>
    <s v="TX500069"/>
    <x v="1"/>
    <x v="0"/>
    <n v="97.7"/>
    <n v="97.7"/>
    <x v="2"/>
    <d v="2025-01-05T00:00:00"/>
    <s v="F"/>
    <x v="0"/>
    <x v="1"/>
    <x v="0"/>
    <x v="6"/>
    <n v="2"/>
    <x v="0"/>
    <x v="2"/>
  </r>
  <r>
    <s v="TX500070"/>
    <x v="15"/>
    <x v="12"/>
    <n v="97.7"/>
    <n v="390.8"/>
    <x v="2"/>
    <d v="2025-01-05T00:00:00"/>
    <s v="M"/>
    <x v="3"/>
    <x v="0"/>
    <x v="0"/>
    <x v="6"/>
    <n v="2"/>
    <x v="0"/>
    <x v="1"/>
  </r>
  <r>
    <s v="TX500071"/>
    <x v="17"/>
    <x v="2"/>
    <n v="47.4"/>
    <n v="142.19999999999999"/>
    <x v="2"/>
    <d v="2025-01-06T00:00:00"/>
    <s v="M"/>
    <x v="3"/>
    <x v="2"/>
    <x v="0"/>
    <x v="8"/>
    <n v="3"/>
    <x v="0"/>
    <x v="1"/>
  </r>
  <r>
    <s v="TX500072"/>
    <x v="7"/>
    <x v="0"/>
    <n v="89.6"/>
    <n v="89.6"/>
    <x v="2"/>
    <d v="2025-01-06T00:00:00"/>
    <s v="F"/>
    <x v="0"/>
    <x v="2"/>
    <x v="0"/>
    <x v="8"/>
    <n v="3"/>
    <x v="0"/>
    <x v="2"/>
  </r>
  <r>
    <s v="TX500073"/>
    <x v="10"/>
    <x v="16"/>
    <n v="28.4"/>
    <n v="511.2"/>
    <x v="2"/>
    <d v="2025-01-06T00:00:00"/>
    <s v="F"/>
    <x v="3"/>
    <x v="2"/>
    <x v="0"/>
    <x v="17"/>
    <n v="3"/>
    <x v="0"/>
    <x v="2"/>
  </r>
  <r>
    <s v="TX500074"/>
    <x v="0"/>
    <x v="1"/>
    <n v="17.899999999999999"/>
    <n v="35.799999999999997"/>
    <x v="2"/>
    <d v="2025-01-04T00:00:00"/>
    <s v="F"/>
    <x v="0"/>
    <x v="2"/>
    <x v="0"/>
    <x v="9"/>
    <n v="1"/>
    <x v="0"/>
    <x v="2"/>
  </r>
  <r>
    <s v="TX500075"/>
    <x v="9"/>
    <x v="1"/>
    <n v="48.4"/>
    <n v="96.8"/>
    <x v="2"/>
    <d v="2025-01-06T00:00:00"/>
    <s v="M"/>
    <x v="1"/>
    <x v="0"/>
    <x v="0"/>
    <x v="9"/>
    <n v="3"/>
    <x v="0"/>
    <x v="1"/>
  </r>
  <r>
    <s v="TX500076"/>
    <x v="12"/>
    <x v="12"/>
    <n v="44.4"/>
    <n v="177.6"/>
    <x v="2"/>
    <d v="2025-01-04T00:00:00"/>
    <s v="O"/>
    <x v="1"/>
    <x v="1"/>
    <x v="0"/>
    <x v="11"/>
    <n v="1"/>
    <x v="0"/>
    <x v="3"/>
  </r>
  <r>
    <s v="TX500077"/>
    <x v="2"/>
    <x v="8"/>
    <n v="103.7"/>
    <n v="829.6"/>
    <x v="2"/>
    <d v="2025-01-04T00:00:00"/>
    <s v="F"/>
    <x v="0"/>
    <x v="1"/>
    <x v="0"/>
    <x v="19"/>
    <n v="1"/>
    <x v="0"/>
    <x v="2"/>
  </r>
  <r>
    <s v="TX500078"/>
    <x v="5"/>
    <x v="12"/>
    <n v="58.6"/>
    <n v="234.4"/>
    <x v="2"/>
    <d v="2025-01-05T00:00:00"/>
    <s v="M"/>
    <x v="3"/>
    <x v="0"/>
    <x v="0"/>
    <x v="19"/>
    <n v="2"/>
    <x v="0"/>
    <x v="1"/>
  </r>
  <r>
    <s v="TX500079"/>
    <x v="9"/>
    <x v="12"/>
    <n v="54.8"/>
    <n v="219.2"/>
    <x v="2"/>
    <d v="2025-01-07T00:00:00"/>
    <s v="F"/>
    <x v="2"/>
    <x v="1"/>
    <x v="0"/>
    <x v="13"/>
    <n v="4"/>
    <x v="0"/>
    <x v="2"/>
  </r>
  <r>
    <s v="TX500080"/>
    <x v="12"/>
    <x v="2"/>
    <n v="78.8"/>
    <n v="236.39999999999998"/>
    <x v="2"/>
    <d v="2025-01-09T00:00:00"/>
    <s v="F"/>
    <x v="4"/>
    <x v="1"/>
    <x v="0"/>
    <x v="21"/>
    <n v="6"/>
    <x v="0"/>
    <x v="2"/>
  </r>
  <r>
    <s v="TX500081"/>
    <x v="18"/>
    <x v="9"/>
    <n v="36.799999999999997"/>
    <n v="184"/>
    <x v="2"/>
    <d v="2025-01-06T00:00:00"/>
    <s v="M"/>
    <x v="4"/>
    <x v="1"/>
    <x v="0"/>
    <x v="22"/>
    <n v="3"/>
    <x v="0"/>
    <x v="1"/>
  </r>
  <r>
    <s v="TX500082"/>
    <x v="6"/>
    <x v="13"/>
    <n v="50.6"/>
    <n v="303.60000000000002"/>
    <x v="2"/>
    <d v="2025-01-05T00:00:00"/>
    <s v="F"/>
    <x v="3"/>
    <x v="0"/>
    <x v="0"/>
    <x v="3"/>
    <n v="2"/>
    <x v="0"/>
    <x v="2"/>
  </r>
  <r>
    <s v="TX500083"/>
    <x v="15"/>
    <x v="2"/>
    <n v="36.799999999999997"/>
    <n v="110.39999999999999"/>
    <x v="2"/>
    <d v="2025-01-03T00:00:00"/>
    <s v="M"/>
    <x v="2"/>
    <x v="1"/>
    <x v="0"/>
    <x v="3"/>
    <n v="0"/>
    <x v="0"/>
    <x v="1"/>
  </r>
  <r>
    <s v="TX500084"/>
    <x v="8"/>
    <x v="11"/>
    <n v="41.8"/>
    <n v="376.2"/>
    <x v="3"/>
    <d v="2025-01-10T00:00:00"/>
    <s v="F"/>
    <x v="3"/>
    <x v="0"/>
    <x v="0"/>
    <x v="3"/>
    <n v="6"/>
    <x v="0"/>
    <x v="2"/>
  </r>
  <r>
    <s v="TX500085"/>
    <x v="18"/>
    <x v="0"/>
    <n v="77.3"/>
    <n v="77.3"/>
    <x v="3"/>
    <d v="2025-01-05T00:00:00"/>
    <s v="M"/>
    <x v="4"/>
    <x v="4"/>
    <x v="0"/>
    <x v="3"/>
    <n v="1"/>
    <x v="0"/>
    <x v="1"/>
  </r>
  <r>
    <s v="TX500086"/>
    <x v="8"/>
    <x v="12"/>
    <n v="19.8"/>
    <n v="79.2"/>
    <x v="3"/>
    <d v="2025-01-10T00:00:00"/>
    <s v="M"/>
    <x v="1"/>
    <x v="2"/>
    <x v="0"/>
    <x v="3"/>
    <n v="6"/>
    <x v="0"/>
    <x v="1"/>
  </r>
  <r>
    <s v="TX500087"/>
    <x v="13"/>
    <x v="12"/>
    <n v="15.5"/>
    <n v="62"/>
    <x v="3"/>
    <d v="2025-01-05T00:00:00"/>
    <s v="F"/>
    <x v="1"/>
    <x v="2"/>
    <x v="0"/>
    <x v="3"/>
    <n v="1"/>
    <x v="0"/>
    <x v="2"/>
  </r>
  <r>
    <s v="TX500088"/>
    <x v="12"/>
    <x v="0"/>
    <n v="46.8"/>
    <n v="46.8"/>
    <x v="3"/>
    <d v="2025-01-08T00:00:00"/>
    <s v="M"/>
    <x v="0"/>
    <x v="2"/>
    <x v="0"/>
    <x v="3"/>
    <n v="4"/>
    <x v="0"/>
    <x v="1"/>
  </r>
  <r>
    <s v="TX500089"/>
    <x v="9"/>
    <x v="11"/>
    <n v="28.6"/>
    <n v="257.40000000000003"/>
    <x v="3"/>
    <d v="2025-01-08T00:00:00"/>
    <s v="M"/>
    <x v="0"/>
    <x v="2"/>
    <x v="0"/>
    <x v="3"/>
    <n v="4"/>
    <x v="0"/>
    <x v="1"/>
  </r>
  <r>
    <s v="TX500090"/>
    <x v="2"/>
    <x v="0"/>
    <n v="97.7"/>
    <n v="97.7"/>
    <x v="3"/>
    <d v="2025-01-07T00:00:00"/>
    <s v="F"/>
    <x v="1"/>
    <x v="0"/>
    <x v="0"/>
    <x v="3"/>
    <n v="3"/>
    <x v="0"/>
    <x v="2"/>
  </r>
  <r>
    <s v="TX500091"/>
    <x v="9"/>
    <x v="9"/>
    <n v="54.7"/>
    <n v="273.5"/>
    <x v="3"/>
    <d v="2025-01-07T00:00:00"/>
    <s v=""/>
    <x v="0"/>
    <x v="2"/>
    <x v="0"/>
    <x v="23"/>
    <n v="3"/>
    <x v="0"/>
    <x v="0"/>
  </r>
  <r>
    <s v="TX500092"/>
    <x v="2"/>
    <x v="13"/>
    <n v="130.5"/>
    <n v="783"/>
    <x v="3"/>
    <d v="2025-01-06T00:00:00"/>
    <s v="F"/>
    <x v="0"/>
    <x v="1"/>
    <x v="0"/>
    <x v="23"/>
    <n v="2"/>
    <x v="0"/>
    <x v="2"/>
  </r>
  <r>
    <s v="TX500093"/>
    <x v="11"/>
    <x v="1"/>
    <n v="50.4"/>
    <n v="100.8"/>
    <x v="3"/>
    <d v="2025-01-06T00:00:00"/>
    <s v="M"/>
    <x v="2"/>
    <x v="2"/>
    <x v="0"/>
    <x v="6"/>
    <n v="2"/>
    <x v="0"/>
    <x v="1"/>
  </r>
  <r>
    <s v="TX500094"/>
    <x v="6"/>
    <x v="15"/>
    <n v="61.5"/>
    <n v="799.5"/>
    <x v="3"/>
    <d v="2025-01-05T00:00:00"/>
    <s v=""/>
    <x v="3"/>
    <x v="1"/>
    <x v="0"/>
    <x v="11"/>
    <n v="1"/>
    <x v="0"/>
    <x v="0"/>
  </r>
  <r>
    <s v="TX500095"/>
    <x v="9"/>
    <x v="12"/>
    <n v="30.1"/>
    <n v="120.4"/>
    <x v="3"/>
    <d v="2025-01-05T00:00:00"/>
    <s v="F"/>
    <x v="0"/>
    <x v="2"/>
    <x v="0"/>
    <x v="21"/>
    <n v="1"/>
    <x v="0"/>
    <x v="2"/>
  </r>
  <r>
    <s v="TX500096"/>
    <x v="2"/>
    <x v="9"/>
    <n v="74.8"/>
    <n v="374"/>
    <x v="3"/>
    <d v="2025-01-05T00:00:00"/>
    <s v="F"/>
    <x v="1"/>
    <x v="0"/>
    <x v="0"/>
    <x v="1"/>
    <n v="1"/>
    <x v="0"/>
    <x v="2"/>
  </r>
  <r>
    <s v="TX500097"/>
    <x v="16"/>
    <x v="2"/>
    <n v="64.900000000000006"/>
    <n v="194.70000000000002"/>
    <x v="3"/>
    <d v="2025-01-11T00:00:00"/>
    <s v="M"/>
    <x v="0"/>
    <x v="0"/>
    <x v="0"/>
    <x v="2"/>
    <n v="7"/>
    <x v="0"/>
    <x v="1"/>
  </r>
  <r>
    <s v="TX500098"/>
    <x v="9"/>
    <x v="1"/>
    <n v="50.5"/>
    <n v="101"/>
    <x v="3"/>
    <d v="2025-01-06T00:00:00"/>
    <s v="M"/>
    <x v="1"/>
    <x v="0"/>
    <x v="0"/>
    <x v="22"/>
    <n v="2"/>
    <x v="0"/>
    <x v="1"/>
  </r>
  <r>
    <s v="TX500099"/>
    <x v="11"/>
    <x v="3"/>
    <n v="63"/>
    <n v="441"/>
    <x v="3"/>
    <d v="2025-01-07T00:00:00"/>
    <s v="M"/>
    <x v="3"/>
    <x v="2"/>
    <x v="0"/>
    <x v="3"/>
    <n v="3"/>
    <x v="0"/>
    <x v="1"/>
  </r>
  <r>
    <s v="TX500100"/>
    <x v="2"/>
    <x v="2"/>
    <n v="93.6"/>
    <n v="280.79999999999995"/>
    <x v="3"/>
    <d v="2025-01-17T00:00:00"/>
    <s v="F"/>
    <x v="0"/>
    <x v="2"/>
    <x v="0"/>
    <x v="3"/>
    <n v="13"/>
    <x v="0"/>
    <x v="2"/>
  </r>
  <r>
    <s v="TX500101"/>
    <x v="5"/>
    <x v="17"/>
    <n v="41.4"/>
    <n v="1242"/>
    <x v="3"/>
    <d v="2025-01-08T00:00:00"/>
    <s v="M"/>
    <x v="2"/>
    <x v="2"/>
    <x v="0"/>
    <x v="3"/>
    <n v="4"/>
    <x v="0"/>
    <x v="1"/>
  </r>
  <r>
    <s v="TX500102"/>
    <x v="2"/>
    <x v="1"/>
    <n v="160"/>
    <n v="320"/>
    <x v="4"/>
    <d v="2025-01-06T00:00:00"/>
    <s v="M"/>
    <x v="2"/>
    <x v="2"/>
    <x v="0"/>
    <x v="5"/>
    <n v="1"/>
    <x v="1"/>
    <x v="1"/>
  </r>
  <r>
    <s v="TX500103"/>
    <x v="19"/>
    <x v="5"/>
    <n v="10.5"/>
    <n v="115.5"/>
    <x v="4"/>
    <d v="2025-01-08T00:00:00"/>
    <s v="F"/>
    <x v="4"/>
    <x v="0"/>
    <x v="0"/>
    <x v="8"/>
    <n v="3"/>
    <x v="1"/>
    <x v="2"/>
  </r>
  <r>
    <s v="TX500104"/>
    <x v="10"/>
    <x v="1"/>
    <n v="53"/>
    <n v="106"/>
    <x v="4"/>
    <d v="2025-01-05T00:00:00"/>
    <s v="M"/>
    <x v="2"/>
    <x v="4"/>
    <x v="0"/>
    <x v="17"/>
    <n v="0"/>
    <x v="1"/>
    <x v="1"/>
  </r>
  <r>
    <s v="TX500105"/>
    <x v="8"/>
    <x v="2"/>
    <n v="18.5"/>
    <n v="55.5"/>
    <x v="4"/>
    <d v="2025-01-10T00:00:00"/>
    <s v="F"/>
    <x v="1"/>
    <x v="2"/>
    <x v="0"/>
    <x v="11"/>
    <n v="5"/>
    <x v="1"/>
    <x v="2"/>
  </r>
  <r>
    <s v="TX500106"/>
    <x v="16"/>
    <x v="2"/>
    <n v="84.5"/>
    <n v="253.5"/>
    <x v="4"/>
    <d v="2025-01-07T00:00:00"/>
    <s v="F"/>
    <x v="4"/>
    <x v="1"/>
    <x v="0"/>
    <x v="13"/>
    <n v="2"/>
    <x v="1"/>
    <x v="2"/>
  </r>
  <r>
    <s v="TX500107"/>
    <x v="15"/>
    <x v="3"/>
    <n v="31.2"/>
    <n v="218.4"/>
    <x v="4"/>
    <d v="2025-01-05T00:00:00"/>
    <s v="F"/>
    <x v="2"/>
    <x v="2"/>
    <x v="0"/>
    <x v="3"/>
    <n v="0"/>
    <x v="1"/>
    <x v="2"/>
  </r>
  <r>
    <s v="TX500108"/>
    <x v="8"/>
    <x v="16"/>
    <n v="32.6"/>
    <n v="586.80000000000007"/>
    <x v="4"/>
    <d v="2025-01-06T00:00:00"/>
    <s v="M"/>
    <x v="1"/>
    <x v="1"/>
    <x v="0"/>
    <x v="3"/>
    <n v="1"/>
    <x v="1"/>
    <x v="1"/>
  </r>
  <r>
    <s v="TX500109"/>
    <x v="10"/>
    <x v="12"/>
    <n v="45.4"/>
    <n v="181.6"/>
    <x v="4"/>
    <d v="2025-01-07T00:00:00"/>
    <s v="M"/>
    <x v="1"/>
    <x v="0"/>
    <x v="0"/>
    <x v="3"/>
    <n v="2"/>
    <x v="1"/>
    <x v="1"/>
  </r>
  <r>
    <s v="TX500110"/>
    <x v="2"/>
    <x v="4"/>
    <n v="120"/>
    <n v="1440"/>
    <x v="4"/>
    <d v="2025-01-06T00:00:00"/>
    <s v="F"/>
    <x v="2"/>
    <x v="4"/>
    <x v="0"/>
    <x v="3"/>
    <n v="1"/>
    <x v="1"/>
    <x v="2"/>
  </r>
  <r>
    <s v="TX500111"/>
    <x v="0"/>
    <x v="12"/>
    <n v="18.899999999999999"/>
    <n v="75.599999999999994"/>
    <x v="4"/>
    <d v="2025-01-07T00:00:00"/>
    <s v="M"/>
    <x v="0"/>
    <x v="2"/>
    <x v="0"/>
    <x v="3"/>
    <n v="2"/>
    <x v="1"/>
    <x v="1"/>
  </r>
  <r>
    <s v="TX500112"/>
    <x v="4"/>
    <x v="0"/>
    <n v="32"/>
    <n v="32"/>
    <x v="4"/>
    <d v="2025-01-07T00:00:00"/>
    <s v="F"/>
    <x v="4"/>
    <x v="0"/>
    <x v="0"/>
    <x v="3"/>
    <n v="2"/>
    <x v="1"/>
    <x v="2"/>
  </r>
  <r>
    <s v="TX500113"/>
    <x v="7"/>
    <x v="1"/>
    <n v="37.299999999999997"/>
    <n v="74.599999999999994"/>
    <x v="4"/>
    <d v="2025-01-06T00:00:00"/>
    <s v="M"/>
    <x v="2"/>
    <x v="0"/>
    <x v="0"/>
    <x v="3"/>
    <n v="1"/>
    <x v="1"/>
    <x v="1"/>
  </r>
  <r>
    <s v="TX500114"/>
    <x v="18"/>
    <x v="0"/>
    <n v="119.8"/>
    <n v="119.8"/>
    <x v="4"/>
    <d v="2025-01-06T00:00:00"/>
    <s v="M"/>
    <x v="1"/>
    <x v="1"/>
    <x v="0"/>
    <x v="3"/>
    <n v="1"/>
    <x v="1"/>
    <x v="1"/>
  </r>
  <r>
    <s v="TX500115"/>
    <x v="10"/>
    <x v="1"/>
    <n v="26.4"/>
    <n v="52.8"/>
    <x v="4"/>
    <d v="2025-01-08T00:00:00"/>
    <s v="M"/>
    <x v="2"/>
    <x v="0"/>
    <x v="0"/>
    <x v="3"/>
    <n v="3"/>
    <x v="1"/>
    <x v="1"/>
  </r>
  <r>
    <s v="TX500116"/>
    <x v="6"/>
    <x v="13"/>
    <n v="76.5"/>
    <n v="459"/>
    <x v="4"/>
    <d v="2025-01-06T00:00:00"/>
    <s v="F"/>
    <x v="1"/>
    <x v="1"/>
    <x v="0"/>
    <x v="3"/>
    <n v="1"/>
    <x v="1"/>
    <x v="2"/>
  </r>
  <r>
    <s v="TX500117"/>
    <x v="4"/>
    <x v="7"/>
    <n v="45.7"/>
    <n v="457"/>
    <x v="4"/>
    <d v="2025-01-06T00:00:00"/>
    <s v="F"/>
    <x v="2"/>
    <x v="0"/>
    <x v="0"/>
    <x v="24"/>
    <n v="1"/>
    <x v="1"/>
    <x v="2"/>
  </r>
  <r>
    <s v="TX500118"/>
    <x v="1"/>
    <x v="4"/>
    <n v="92.6"/>
    <n v="1111.1999999999998"/>
    <x v="4"/>
    <d v="2025-01-07T00:00:00"/>
    <s v="F"/>
    <x v="2"/>
    <x v="0"/>
    <x v="0"/>
    <x v="25"/>
    <n v="2"/>
    <x v="1"/>
    <x v="2"/>
  </r>
  <r>
    <s v="TX500119"/>
    <x v="6"/>
    <x v="13"/>
    <n v="60.1"/>
    <n v="360.6"/>
    <x v="4"/>
    <d v="2025-01-06T00:00:00"/>
    <s v="M"/>
    <x v="1"/>
    <x v="0"/>
    <x v="0"/>
    <x v="23"/>
    <n v="1"/>
    <x v="1"/>
    <x v="1"/>
  </r>
  <r>
    <s v="TX500120"/>
    <x v="1"/>
    <x v="2"/>
    <n v="73"/>
    <n v="219"/>
    <x v="4"/>
    <d v="2025-01-06T00:00:00"/>
    <s v="F"/>
    <x v="3"/>
    <x v="1"/>
    <x v="0"/>
    <x v="6"/>
    <n v="1"/>
    <x v="1"/>
    <x v="2"/>
  </r>
  <r>
    <s v="TX500121"/>
    <x v="6"/>
    <x v="2"/>
    <n v="44.3"/>
    <n v="132.89999999999998"/>
    <x v="4"/>
    <d v="2025-01-09T00:00:00"/>
    <s v=""/>
    <x v="2"/>
    <x v="2"/>
    <x v="0"/>
    <x v="6"/>
    <n v="4"/>
    <x v="1"/>
    <x v="0"/>
  </r>
  <r>
    <s v="TX500122"/>
    <x v="6"/>
    <x v="2"/>
    <n v="63.3"/>
    <n v="189.89999999999998"/>
    <x v="4"/>
    <d v="2025-01-06T00:00:00"/>
    <s v="M"/>
    <x v="2"/>
    <x v="0"/>
    <x v="0"/>
    <x v="6"/>
    <n v="1"/>
    <x v="1"/>
    <x v="1"/>
  </r>
  <r>
    <s v="TX500123"/>
    <x v="12"/>
    <x v="0"/>
    <n v="66.8"/>
    <n v="66.8"/>
    <x v="4"/>
    <d v="2025-01-06T00:00:00"/>
    <s v="F"/>
    <x v="1"/>
    <x v="0"/>
    <x v="0"/>
    <x v="6"/>
    <n v="1"/>
    <x v="1"/>
    <x v="2"/>
  </r>
  <r>
    <s v="TX500124"/>
    <x v="2"/>
    <x v="1"/>
    <n v="59.7"/>
    <n v="119.4"/>
    <x v="4"/>
    <d v="2025-01-06T00:00:00"/>
    <s v="F"/>
    <x v="0"/>
    <x v="0"/>
    <x v="0"/>
    <x v="7"/>
    <n v="1"/>
    <x v="1"/>
    <x v="2"/>
  </r>
  <r>
    <s v="TX500125"/>
    <x v="1"/>
    <x v="13"/>
    <n v="92"/>
    <n v="552"/>
    <x v="4"/>
    <d v="2025-01-07T00:00:00"/>
    <s v="M"/>
    <x v="0"/>
    <x v="4"/>
    <x v="0"/>
    <x v="7"/>
    <n v="2"/>
    <x v="1"/>
    <x v="1"/>
  </r>
  <r>
    <s v="TX500126"/>
    <x v="7"/>
    <x v="1"/>
    <n v="87.6"/>
    <n v="175.2"/>
    <x v="4"/>
    <d v="2025-01-07T00:00:00"/>
    <s v="M"/>
    <x v="1"/>
    <x v="1"/>
    <x v="0"/>
    <x v="8"/>
    <n v="2"/>
    <x v="1"/>
    <x v="1"/>
  </r>
  <r>
    <s v="TX500127"/>
    <x v="6"/>
    <x v="2"/>
    <n v="84.5"/>
    <n v="253.5"/>
    <x v="4"/>
    <d v="2025-01-06T00:00:00"/>
    <s v="F"/>
    <x v="1"/>
    <x v="1"/>
    <x v="0"/>
    <x v="8"/>
    <n v="1"/>
    <x v="1"/>
    <x v="2"/>
  </r>
  <r>
    <s v="TX500128"/>
    <x v="1"/>
    <x v="1"/>
    <n v="116.3"/>
    <n v="232.6"/>
    <x v="5"/>
    <d v="2025-01-08T00:00:00"/>
    <s v="M"/>
    <x v="2"/>
    <x v="2"/>
    <x v="0"/>
    <x v="8"/>
    <n v="2"/>
    <x v="1"/>
    <x v="1"/>
  </r>
  <r>
    <s v="TX500129"/>
    <x v="6"/>
    <x v="9"/>
    <n v="52.7"/>
    <n v="263.5"/>
    <x v="5"/>
    <d v="2025-01-10T00:00:00"/>
    <s v="M"/>
    <x v="0"/>
    <x v="0"/>
    <x v="0"/>
    <x v="8"/>
    <n v="4"/>
    <x v="1"/>
    <x v="1"/>
  </r>
  <r>
    <s v="TX500130"/>
    <x v="16"/>
    <x v="2"/>
    <n v="34.200000000000003"/>
    <n v="102.60000000000001"/>
    <x v="5"/>
    <d v="2025-01-07T00:00:00"/>
    <s v="M"/>
    <x v="0"/>
    <x v="2"/>
    <x v="0"/>
    <x v="26"/>
    <n v="1"/>
    <x v="1"/>
    <x v="1"/>
  </r>
  <r>
    <s v="TX500131"/>
    <x v="9"/>
    <x v="0"/>
    <n v="23.3"/>
    <n v="23.3"/>
    <x v="5"/>
    <d v="2025-01-15T00:00:00"/>
    <s v="O"/>
    <x v="2"/>
    <x v="2"/>
    <x v="0"/>
    <x v="9"/>
    <n v="9"/>
    <x v="1"/>
    <x v="3"/>
  </r>
  <r>
    <s v="TX500132"/>
    <x v="0"/>
    <x v="18"/>
    <n v="25.9"/>
    <n v="673.4"/>
    <x v="5"/>
    <d v="2025-01-09T00:00:00"/>
    <s v="F"/>
    <x v="4"/>
    <x v="1"/>
    <x v="0"/>
    <x v="9"/>
    <n v="3"/>
    <x v="1"/>
    <x v="2"/>
  </r>
  <r>
    <s v="TX500133"/>
    <x v="6"/>
    <x v="19"/>
    <n v="54.9"/>
    <n v="1592.1"/>
    <x v="5"/>
    <d v="2025-01-07T00:00:00"/>
    <s v="M"/>
    <x v="1"/>
    <x v="2"/>
    <x v="0"/>
    <x v="9"/>
    <n v="1"/>
    <x v="1"/>
    <x v="1"/>
  </r>
  <r>
    <s v="TX500134"/>
    <x v="5"/>
    <x v="2"/>
    <n v="75.8"/>
    <n v="227.39999999999998"/>
    <x v="5"/>
    <d v="2025-01-11T00:00:00"/>
    <s v="O"/>
    <x v="1"/>
    <x v="0"/>
    <x v="0"/>
    <x v="18"/>
    <n v="5"/>
    <x v="1"/>
    <x v="3"/>
  </r>
  <r>
    <s v="TX500135"/>
    <x v="1"/>
    <x v="11"/>
    <n v="44.9"/>
    <n v="404.09999999999997"/>
    <x v="5"/>
    <d v="2025-01-09T00:00:00"/>
    <s v="F"/>
    <x v="2"/>
    <x v="2"/>
    <x v="0"/>
    <x v="2"/>
    <n v="3"/>
    <x v="1"/>
    <x v="2"/>
  </r>
  <r>
    <s v="TX500136"/>
    <x v="11"/>
    <x v="1"/>
    <n v="48.8"/>
    <n v="97.6"/>
    <x v="5"/>
    <d v="2025-01-08T00:00:00"/>
    <s v="F"/>
    <x v="3"/>
    <x v="0"/>
    <x v="0"/>
    <x v="27"/>
    <n v="2"/>
    <x v="1"/>
    <x v="2"/>
  </r>
  <r>
    <s v="TX500137"/>
    <x v="15"/>
    <x v="0"/>
    <n v="20.3"/>
    <n v="20.3"/>
    <x v="5"/>
    <d v="2025-01-07T00:00:00"/>
    <s v="F"/>
    <x v="0"/>
    <x v="2"/>
    <x v="0"/>
    <x v="22"/>
    <n v="1"/>
    <x v="1"/>
    <x v="2"/>
  </r>
  <r>
    <s v="TX500138"/>
    <x v="5"/>
    <x v="3"/>
    <n v="36.4"/>
    <n v="254.79999999999998"/>
    <x v="5"/>
    <d v="2025-01-09T00:00:00"/>
    <s v="F"/>
    <x v="0"/>
    <x v="1"/>
    <x v="0"/>
    <x v="3"/>
    <n v="3"/>
    <x v="1"/>
    <x v="2"/>
  </r>
  <r>
    <s v="TX500139"/>
    <x v="0"/>
    <x v="0"/>
    <n v="19"/>
    <n v="19"/>
    <x v="5"/>
    <d v="2025-01-11T00:00:00"/>
    <s v="F"/>
    <x v="1"/>
    <x v="2"/>
    <x v="0"/>
    <x v="3"/>
    <n v="5"/>
    <x v="1"/>
    <x v="2"/>
  </r>
  <r>
    <s v="TX500140"/>
    <x v="8"/>
    <x v="0"/>
    <n v="17.8"/>
    <n v="17.8"/>
    <x v="5"/>
    <d v="2025-01-06T00:00:00"/>
    <s v="M"/>
    <x v="0"/>
    <x v="0"/>
    <x v="0"/>
    <x v="3"/>
    <n v="0"/>
    <x v="1"/>
    <x v="1"/>
  </r>
  <r>
    <s v="TX500141"/>
    <x v="2"/>
    <x v="13"/>
    <n v="139.6"/>
    <n v="837.59999999999991"/>
    <x v="5"/>
    <d v="2025-01-09T00:00:00"/>
    <s v="M"/>
    <x v="0"/>
    <x v="0"/>
    <x v="0"/>
    <x v="3"/>
    <n v="3"/>
    <x v="1"/>
    <x v="1"/>
  </r>
  <r>
    <s v="TX500142"/>
    <x v="9"/>
    <x v="0"/>
    <n v="31.7"/>
    <n v="31.7"/>
    <x v="5"/>
    <d v="2025-01-06T00:00:00"/>
    <s v=""/>
    <x v="0"/>
    <x v="0"/>
    <x v="0"/>
    <x v="3"/>
    <n v="0"/>
    <x v="1"/>
    <x v="0"/>
  </r>
  <r>
    <s v="TX500143"/>
    <x v="8"/>
    <x v="8"/>
    <n v="26.3"/>
    <n v="210.4"/>
    <x v="5"/>
    <d v="2025-01-09T00:00:00"/>
    <s v="F"/>
    <x v="4"/>
    <x v="4"/>
    <x v="0"/>
    <x v="3"/>
    <n v="3"/>
    <x v="1"/>
    <x v="2"/>
  </r>
  <r>
    <s v="TX500144"/>
    <x v="4"/>
    <x v="1"/>
    <n v="47.8"/>
    <n v="95.6"/>
    <x v="5"/>
    <d v="2025-01-07T00:00:00"/>
    <s v=""/>
    <x v="0"/>
    <x v="0"/>
    <x v="0"/>
    <x v="3"/>
    <n v="1"/>
    <x v="1"/>
    <x v="0"/>
  </r>
  <r>
    <s v="TX500145"/>
    <x v="9"/>
    <x v="2"/>
    <n v="69.400000000000006"/>
    <n v="208.20000000000002"/>
    <x v="5"/>
    <d v="2025-01-10T00:00:00"/>
    <s v="F"/>
    <x v="0"/>
    <x v="0"/>
    <x v="0"/>
    <x v="3"/>
    <n v="4"/>
    <x v="1"/>
    <x v="2"/>
  </r>
  <r>
    <s v="TX500146"/>
    <x v="18"/>
    <x v="4"/>
    <n v="25.8"/>
    <n v="309.60000000000002"/>
    <x v="5"/>
    <d v="2025-01-07T00:00:00"/>
    <s v="M"/>
    <x v="4"/>
    <x v="4"/>
    <x v="0"/>
    <x v="3"/>
    <n v="1"/>
    <x v="1"/>
    <x v="1"/>
  </r>
  <r>
    <s v="TX500147"/>
    <x v="0"/>
    <x v="12"/>
    <n v="26.4"/>
    <n v="105.6"/>
    <x v="5"/>
    <d v="2025-01-07T00:00:00"/>
    <s v="M"/>
    <x v="1"/>
    <x v="2"/>
    <x v="0"/>
    <x v="3"/>
    <n v="1"/>
    <x v="1"/>
    <x v="1"/>
  </r>
  <r>
    <s v="TX500148"/>
    <x v="8"/>
    <x v="12"/>
    <n v="15.7"/>
    <n v="62.8"/>
    <x v="5"/>
    <d v="2025-01-07T00:00:00"/>
    <s v="M"/>
    <x v="2"/>
    <x v="0"/>
    <x v="0"/>
    <x v="3"/>
    <n v="1"/>
    <x v="1"/>
    <x v="1"/>
  </r>
  <r>
    <s v="TX500149"/>
    <x v="8"/>
    <x v="0"/>
    <n v="39.700000000000003"/>
    <n v="39.700000000000003"/>
    <x v="5"/>
    <d v="2025-01-10T00:00:00"/>
    <s v="M"/>
    <x v="0"/>
    <x v="0"/>
    <x v="0"/>
    <x v="3"/>
    <n v="4"/>
    <x v="1"/>
    <x v="1"/>
  </r>
  <r>
    <s v="TX500150"/>
    <x v="10"/>
    <x v="12"/>
    <n v="31.1"/>
    <n v="124.4"/>
    <x v="5"/>
    <d v="2025-01-08T00:00:00"/>
    <s v="F"/>
    <x v="2"/>
    <x v="1"/>
    <x v="0"/>
    <x v="3"/>
    <n v="2"/>
    <x v="1"/>
    <x v="2"/>
  </r>
  <r>
    <s v="TX500151"/>
    <x v="13"/>
    <x v="20"/>
    <n v="23.4"/>
    <n v="351"/>
    <x v="5"/>
    <d v="2025-01-15T00:00:00"/>
    <s v="M"/>
    <x v="0"/>
    <x v="0"/>
    <x v="0"/>
    <x v="3"/>
    <n v="9"/>
    <x v="1"/>
    <x v="1"/>
  </r>
  <r>
    <s v="TX500152"/>
    <x v="1"/>
    <x v="12"/>
    <n v="57.1"/>
    <n v="228.4"/>
    <x v="6"/>
    <d v="2025-01-08T00:00:00"/>
    <s v="M"/>
    <x v="2"/>
    <x v="0"/>
    <x v="0"/>
    <x v="25"/>
    <n v="1"/>
    <x v="1"/>
    <x v="1"/>
  </r>
  <r>
    <s v="TX500153"/>
    <x v="2"/>
    <x v="9"/>
    <n v="89.9"/>
    <n v="449.5"/>
    <x v="6"/>
    <d v="2025-01-07T00:00:00"/>
    <s v="F"/>
    <x v="0"/>
    <x v="3"/>
    <x v="0"/>
    <x v="23"/>
    <n v="0"/>
    <x v="1"/>
    <x v="2"/>
  </r>
  <r>
    <s v="TX500154"/>
    <x v="10"/>
    <x v="3"/>
    <n v="48.1"/>
    <n v="336.7"/>
    <x v="6"/>
    <d v="2025-01-09T00:00:00"/>
    <s v="F"/>
    <x v="1"/>
    <x v="2"/>
    <x v="0"/>
    <x v="6"/>
    <n v="2"/>
    <x v="1"/>
    <x v="2"/>
  </r>
  <r>
    <s v="TX500155"/>
    <x v="8"/>
    <x v="1"/>
    <n v="29.3"/>
    <n v="58.6"/>
    <x v="6"/>
    <d v="2025-01-07T00:00:00"/>
    <s v="F"/>
    <x v="1"/>
    <x v="1"/>
    <x v="0"/>
    <x v="6"/>
    <n v="0"/>
    <x v="1"/>
    <x v="2"/>
  </r>
  <r>
    <s v="TX500156"/>
    <x v="8"/>
    <x v="12"/>
    <n v="28.8"/>
    <n v="115.2"/>
    <x v="6"/>
    <d v="2025-01-08T00:00:00"/>
    <s v="F"/>
    <x v="0"/>
    <x v="4"/>
    <x v="0"/>
    <x v="6"/>
    <n v="1"/>
    <x v="1"/>
    <x v="2"/>
  </r>
  <r>
    <s v="TX500157"/>
    <x v="10"/>
    <x v="9"/>
    <n v="40.5"/>
    <n v="202.5"/>
    <x v="6"/>
    <d v="2025-01-11T00:00:00"/>
    <s v="F"/>
    <x v="3"/>
    <x v="0"/>
    <x v="0"/>
    <x v="6"/>
    <n v="4"/>
    <x v="1"/>
    <x v="2"/>
  </r>
  <r>
    <s v="TX500158"/>
    <x v="18"/>
    <x v="21"/>
    <n v="65.099999999999994"/>
    <n v="911.39999999999986"/>
    <x v="6"/>
    <d v="2025-01-08T00:00:00"/>
    <s v="F"/>
    <x v="4"/>
    <x v="0"/>
    <x v="0"/>
    <x v="7"/>
    <n v="1"/>
    <x v="1"/>
    <x v="2"/>
  </r>
  <r>
    <s v="TX500159"/>
    <x v="8"/>
    <x v="12"/>
    <n v="40.299999999999997"/>
    <n v="161.19999999999999"/>
    <x v="6"/>
    <d v="2025-01-12T00:00:00"/>
    <s v="F"/>
    <x v="2"/>
    <x v="0"/>
    <x v="0"/>
    <x v="7"/>
    <n v="5"/>
    <x v="1"/>
    <x v="2"/>
  </r>
  <r>
    <s v="TX500160"/>
    <x v="6"/>
    <x v="9"/>
    <n v="51.8"/>
    <n v="259"/>
    <x v="6"/>
    <d v="2025-01-08T00:00:00"/>
    <s v="M"/>
    <x v="2"/>
    <x v="2"/>
    <x v="0"/>
    <x v="8"/>
    <n v="1"/>
    <x v="1"/>
    <x v="1"/>
  </r>
  <r>
    <s v="TX500161"/>
    <x v="6"/>
    <x v="2"/>
    <n v="61.3"/>
    <n v="183.89999999999998"/>
    <x v="6"/>
    <d v="2025-01-08T00:00:00"/>
    <s v="F"/>
    <x v="3"/>
    <x v="0"/>
    <x v="0"/>
    <x v="8"/>
    <n v="1"/>
    <x v="1"/>
    <x v="2"/>
  </r>
  <r>
    <s v="TX500162"/>
    <x v="2"/>
    <x v="12"/>
    <n v="122.5"/>
    <n v="490"/>
    <x v="6"/>
    <d v="2025-01-08T00:00:00"/>
    <s v="M"/>
    <x v="0"/>
    <x v="0"/>
    <x v="0"/>
    <x v="8"/>
    <n v="1"/>
    <x v="1"/>
    <x v="1"/>
  </r>
  <r>
    <s v="TX500163"/>
    <x v="0"/>
    <x v="11"/>
    <n v="12.5"/>
    <n v="112.5"/>
    <x v="6"/>
    <d v="2025-01-08T00:00:00"/>
    <s v=""/>
    <x v="1"/>
    <x v="2"/>
    <x v="0"/>
    <x v="8"/>
    <n v="1"/>
    <x v="1"/>
    <x v="0"/>
  </r>
  <r>
    <s v="TX500164"/>
    <x v="15"/>
    <x v="8"/>
    <n v="37.5"/>
    <n v="300"/>
    <x v="6"/>
    <d v="2025-01-08T00:00:00"/>
    <s v="F"/>
    <x v="0"/>
    <x v="0"/>
    <x v="0"/>
    <x v="9"/>
    <n v="1"/>
    <x v="1"/>
    <x v="2"/>
  </r>
  <r>
    <s v="TX500165"/>
    <x v="6"/>
    <x v="2"/>
    <n v="40"/>
    <n v="120"/>
    <x v="6"/>
    <d v="2025-01-10T00:00:00"/>
    <s v="M"/>
    <x v="0"/>
    <x v="4"/>
    <x v="0"/>
    <x v="11"/>
    <n v="3"/>
    <x v="1"/>
    <x v="1"/>
  </r>
  <r>
    <s v="TX500166"/>
    <x v="17"/>
    <x v="8"/>
    <n v="38.5"/>
    <n v="308"/>
    <x v="6"/>
    <d v="2025-01-12T00:00:00"/>
    <s v="F"/>
    <x v="2"/>
    <x v="1"/>
    <x v="0"/>
    <x v="11"/>
    <n v="5"/>
    <x v="1"/>
    <x v="2"/>
  </r>
  <r>
    <s v="TX500167"/>
    <x v="2"/>
    <x v="1"/>
    <n v="86.4"/>
    <n v="172.8"/>
    <x v="6"/>
    <d v="2025-01-09T00:00:00"/>
    <s v="F"/>
    <x v="0"/>
    <x v="0"/>
    <x v="0"/>
    <x v="18"/>
    <n v="2"/>
    <x v="1"/>
    <x v="2"/>
  </r>
  <r>
    <s v="TX500168"/>
    <x v="10"/>
    <x v="0"/>
    <n v="50.7"/>
    <n v="50.7"/>
    <x v="6"/>
    <d v="2025-01-11T00:00:00"/>
    <s v="F"/>
    <x v="1"/>
    <x v="0"/>
    <x v="0"/>
    <x v="18"/>
    <n v="4"/>
    <x v="1"/>
    <x v="2"/>
  </r>
  <r>
    <s v="TX500169"/>
    <x v="10"/>
    <x v="1"/>
    <n v="61"/>
    <n v="122"/>
    <x v="6"/>
    <d v="2025-01-18T00:00:00"/>
    <s v="F"/>
    <x v="4"/>
    <x v="1"/>
    <x v="0"/>
    <x v="18"/>
    <n v="11"/>
    <x v="1"/>
    <x v="2"/>
  </r>
  <r>
    <s v="TX500170"/>
    <x v="4"/>
    <x v="1"/>
    <n v="19.899999999999999"/>
    <n v="39.799999999999997"/>
    <x v="6"/>
    <d v="2025-01-10T00:00:00"/>
    <s v="F"/>
    <x v="1"/>
    <x v="0"/>
    <x v="0"/>
    <x v="28"/>
    <n v="3"/>
    <x v="1"/>
    <x v="2"/>
  </r>
  <r>
    <s v="TX500171"/>
    <x v="5"/>
    <x v="0"/>
    <n v="78.3"/>
    <n v="78.3"/>
    <x v="6"/>
    <d v="2025-01-07T00:00:00"/>
    <s v="F"/>
    <x v="0"/>
    <x v="2"/>
    <x v="0"/>
    <x v="1"/>
    <n v="0"/>
    <x v="1"/>
    <x v="2"/>
  </r>
  <r>
    <s v="TX500172"/>
    <x v="0"/>
    <x v="10"/>
    <n v="10.4"/>
    <n v="197.6"/>
    <x v="6"/>
    <d v="2025-01-09T00:00:00"/>
    <s v="M"/>
    <x v="0"/>
    <x v="2"/>
    <x v="0"/>
    <x v="2"/>
    <n v="2"/>
    <x v="1"/>
    <x v="1"/>
  </r>
  <r>
    <s v="TX500173"/>
    <x v="10"/>
    <x v="0"/>
    <n v="36.1"/>
    <n v="36.1"/>
    <x v="6"/>
    <d v="2025-01-10T00:00:00"/>
    <s v="M"/>
    <x v="3"/>
    <x v="2"/>
    <x v="0"/>
    <x v="3"/>
    <n v="3"/>
    <x v="1"/>
    <x v="1"/>
  </r>
  <r>
    <s v="TX500174"/>
    <x v="14"/>
    <x v="1"/>
    <n v="17.3"/>
    <n v="34.6"/>
    <x v="6"/>
    <d v="2025-01-09T00:00:00"/>
    <s v="F"/>
    <x v="1"/>
    <x v="2"/>
    <x v="0"/>
    <x v="3"/>
    <n v="2"/>
    <x v="1"/>
    <x v="2"/>
  </r>
  <r>
    <s v="TX500175"/>
    <x v="10"/>
    <x v="1"/>
    <n v="30.5"/>
    <n v="61"/>
    <x v="6"/>
    <d v="2025-01-08T00:00:00"/>
    <s v="F"/>
    <x v="1"/>
    <x v="2"/>
    <x v="0"/>
    <x v="3"/>
    <n v="1"/>
    <x v="1"/>
    <x v="2"/>
  </r>
  <r>
    <s v="TX500176"/>
    <x v="18"/>
    <x v="22"/>
    <n v="70.099999999999994"/>
    <n v="4346.2"/>
    <x v="6"/>
    <d v="2025-01-07T00:00:00"/>
    <s v="F"/>
    <x v="2"/>
    <x v="0"/>
    <x v="0"/>
    <x v="3"/>
    <n v="0"/>
    <x v="1"/>
    <x v="2"/>
  </r>
  <r>
    <s v="TX500177"/>
    <x v="3"/>
    <x v="0"/>
    <n v="76.099999999999994"/>
    <n v="76.099999999999994"/>
    <x v="6"/>
    <d v="2025-01-07T00:00:00"/>
    <s v="F"/>
    <x v="2"/>
    <x v="1"/>
    <x v="0"/>
    <x v="3"/>
    <n v="0"/>
    <x v="1"/>
    <x v="2"/>
  </r>
  <r>
    <s v="TX500178"/>
    <x v="15"/>
    <x v="15"/>
    <n v="34.200000000000003"/>
    <n v="444.6"/>
    <x v="6"/>
    <d v="2025-01-08T00:00:00"/>
    <s v="M"/>
    <x v="0"/>
    <x v="0"/>
    <x v="0"/>
    <x v="3"/>
    <n v="1"/>
    <x v="1"/>
    <x v="1"/>
  </r>
  <r>
    <s v="TX500179"/>
    <x v="8"/>
    <x v="9"/>
    <n v="30.3"/>
    <n v="151.5"/>
    <x v="6"/>
    <d v="2025-01-12T00:00:00"/>
    <s v="F"/>
    <x v="4"/>
    <x v="0"/>
    <x v="0"/>
    <x v="3"/>
    <n v="5"/>
    <x v="1"/>
    <x v="2"/>
  </r>
  <r>
    <s v="TX500180"/>
    <x v="6"/>
    <x v="9"/>
    <n v="52.5"/>
    <n v="262.5"/>
    <x v="6"/>
    <d v="2025-01-11T00:00:00"/>
    <s v=""/>
    <x v="3"/>
    <x v="0"/>
    <x v="0"/>
    <x v="3"/>
    <n v="4"/>
    <x v="1"/>
    <x v="0"/>
  </r>
  <r>
    <s v="TX500181"/>
    <x v="9"/>
    <x v="5"/>
    <n v="28.7"/>
    <n v="315.7"/>
    <x v="6"/>
    <d v="2025-01-08T00:00:00"/>
    <s v="F"/>
    <x v="2"/>
    <x v="0"/>
    <x v="0"/>
    <x v="3"/>
    <n v="1"/>
    <x v="1"/>
    <x v="2"/>
  </r>
  <r>
    <s v="TX500182"/>
    <x v="7"/>
    <x v="3"/>
    <n v="52"/>
    <n v="364"/>
    <x v="6"/>
    <d v="2025-01-08T00:00:00"/>
    <s v="M"/>
    <x v="1"/>
    <x v="4"/>
    <x v="0"/>
    <x v="3"/>
    <n v="1"/>
    <x v="1"/>
    <x v="1"/>
  </r>
  <r>
    <s v="TX500183"/>
    <x v="0"/>
    <x v="0"/>
    <n v="13.3"/>
    <n v="13.3"/>
    <x v="7"/>
    <d v="2025-01-12T00:00:00"/>
    <s v="F"/>
    <x v="2"/>
    <x v="1"/>
    <x v="0"/>
    <x v="3"/>
    <n v="4"/>
    <x v="1"/>
    <x v="2"/>
  </r>
  <r>
    <s v="TX500184"/>
    <x v="0"/>
    <x v="2"/>
    <n v="15.7"/>
    <n v="47.099999999999994"/>
    <x v="7"/>
    <d v="2025-01-09T00:00:00"/>
    <s v="F"/>
    <x v="1"/>
    <x v="0"/>
    <x v="0"/>
    <x v="29"/>
    <n v="1"/>
    <x v="1"/>
    <x v="2"/>
  </r>
  <r>
    <s v="TX500185"/>
    <x v="8"/>
    <x v="1"/>
    <n v="25.6"/>
    <n v="51.2"/>
    <x v="7"/>
    <d v="2025-01-09T00:00:00"/>
    <s v="M"/>
    <x v="0"/>
    <x v="2"/>
    <x v="0"/>
    <x v="23"/>
    <n v="1"/>
    <x v="1"/>
    <x v="1"/>
  </r>
  <r>
    <s v="TX500186"/>
    <x v="8"/>
    <x v="0"/>
    <n v="43.4"/>
    <n v="43.4"/>
    <x v="7"/>
    <d v="2025-01-13T00:00:00"/>
    <s v="M"/>
    <x v="0"/>
    <x v="0"/>
    <x v="0"/>
    <x v="6"/>
    <n v="5"/>
    <x v="1"/>
    <x v="1"/>
  </r>
  <r>
    <s v="TX500187"/>
    <x v="11"/>
    <x v="11"/>
    <n v="33.4"/>
    <n v="300.59999999999997"/>
    <x v="7"/>
    <d v="2025-01-08T00:00:00"/>
    <s v="F"/>
    <x v="0"/>
    <x v="0"/>
    <x v="0"/>
    <x v="8"/>
    <n v="0"/>
    <x v="1"/>
    <x v="2"/>
  </r>
  <r>
    <s v="TX500188"/>
    <x v="8"/>
    <x v="10"/>
    <n v="55"/>
    <n v="1045"/>
    <x v="7"/>
    <d v="2025-01-09T00:00:00"/>
    <s v="F"/>
    <x v="1"/>
    <x v="2"/>
    <x v="0"/>
    <x v="8"/>
    <n v="1"/>
    <x v="1"/>
    <x v="2"/>
  </r>
  <r>
    <s v="TX500189"/>
    <x v="8"/>
    <x v="2"/>
    <n v="23.6"/>
    <n v="70.800000000000011"/>
    <x v="7"/>
    <d v="2025-01-09T00:00:00"/>
    <s v="M"/>
    <x v="0"/>
    <x v="2"/>
    <x v="0"/>
    <x v="8"/>
    <n v="1"/>
    <x v="1"/>
    <x v="1"/>
  </r>
  <r>
    <s v="TX500190"/>
    <x v="12"/>
    <x v="11"/>
    <n v="104"/>
    <n v="936"/>
    <x v="7"/>
    <d v="2025-01-10T00:00:00"/>
    <s v="F"/>
    <x v="2"/>
    <x v="2"/>
    <x v="0"/>
    <x v="17"/>
    <n v="2"/>
    <x v="1"/>
    <x v="2"/>
  </r>
  <r>
    <s v="TX500191"/>
    <x v="6"/>
    <x v="1"/>
    <n v="51.8"/>
    <n v="103.6"/>
    <x v="7"/>
    <d v="2025-01-12T00:00:00"/>
    <s v=""/>
    <x v="0"/>
    <x v="2"/>
    <x v="0"/>
    <x v="10"/>
    <n v="4"/>
    <x v="1"/>
    <x v="0"/>
  </r>
  <r>
    <s v="TX500192"/>
    <x v="10"/>
    <x v="9"/>
    <n v="34.5"/>
    <n v="172.5"/>
    <x v="7"/>
    <d v="2025-01-10T00:00:00"/>
    <s v=""/>
    <x v="2"/>
    <x v="2"/>
    <x v="0"/>
    <x v="11"/>
    <n v="2"/>
    <x v="1"/>
    <x v="0"/>
  </r>
  <r>
    <s v="TX500193"/>
    <x v="6"/>
    <x v="1"/>
    <n v="51.8"/>
    <n v="103.6"/>
    <x v="7"/>
    <d v="2025-01-10T00:00:00"/>
    <s v="M"/>
    <x v="1"/>
    <x v="2"/>
    <x v="0"/>
    <x v="30"/>
    <n v="2"/>
    <x v="1"/>
    <x v="1"/>
  </r>
  <r>
    <s v="TX500194"/>
    <x v="18"/>
    <x v="23"/>
    <n v="131.5"/>
    <n v="5654.5"/>
    <x v="7"/>
    <d v="2025-01-09T00:00:00"/>
    <s v="F"/>
    <x v="0"/>
    <x v="2"/>
    <x v="0"/>
    <x v="18"/>
    <n v="1"/>
    <x v="1"/>
    <x v="2"/>
  </r>
  <r>
    <s v="TX500195"/>
    <x v="8"/>
    <x v="3"/>
    <n v="47.8"/>
    <n v="334.59999999999997"/>
    <x v="7"/>
    <d v="2025-01-08T00:00:00"/>
    <s v="F"/>
    <x v="0"/>
    <x v="0"/>
    <x v="0"/>
    <x v="19"/>
    <n v="0"/>
    <x v="1"/>
    <x v="2"/>
  </r>
  <r>
    <s v="TX500196"/>
    <x v="0"/>
    <x v="1"/>
    <n v="10.199999999999999"/>
    <n v="20.399999999999999"/>
    <x v="7"/>
    <d v="2025-01-10T00:00:00"/>
    <s v="F"/>
    <x v="0"/>
    <x v="0"/>
    <x v="0"/>
    <x v="19"/>
    <n v="2"/>
    <x v="1"/>
    <x v="2"/>
  </r>
  <r>
    <s v="TX500197"/>
    <x v="8"/>
    <x v="8"/>
    <n v="41"/>
    <n v="328"/>
    <x v="7"/>
    <d v="2025-01-08T00:00:00"/>
    <s v="F"/>
    <x v="1"/>
    <x v="2"/>
    <x v="0"/>
    <x v="19"/>
    <n v="0"/>
    <x v="1"/>
    <x v="2"/>
  </r>
  <r>
    <s v="TX500198"/>
    <x v="10"/>
    <x v="3"/>
    <n v="50.8"/>
    <n v="355.59999999999997"/>
    <x v="7"/>
    <d v="2025-01-11T00:00:00"/>
    <s v="F"/>
    <x v="1"/>
    <x v="0"/>
    <x v="0"/>
    <x v="21"/>
    <n v="3"/>
    <x v="1"/>
    <x v="2"/>
  </r>
  <r>
    <s v="TX500199"/>
    <x v="18"/>
    <x v="2"/>
    <n v="39.6"/>
    <n v="118.80000000000001"/>
    <x v="7"/>
    <d v="2025-01-09T00:00:00"/>
    <s v="M"/>
    <x v="2"/>
    <x v="2"/>
    <x v="0"/>
    <x v="1"/>
    <n v="1"/>
    <x v="1"/>
    <x v="1"/>
  </r>
  <r>
    <s v="TX500200"/>
    <x v="5"/>
    <x v="1"/>
    <n v="69.5"/>
    <n v="139"/>
    <x v="7"/>
    <d v="2025-01-10T00:00:00"/>
    <s v="M"/>
    <x v="0"/>
    <x v="2"/>
    <x v="0"/>
    <x v="2"/>
    <n v="2"/>
    <x v="1"/>
    <x v="1"/>
  </r>
  <r>
    <s v="TX500201"/>
    <x v="8"/>
    <x v="8"/>
    <n v="32.6"/>
    <n v="260.8"/>
    <x v="7"/>
    <d v="2025-01-11T00:00:00"/>
    <s v="M"/>
    <x v="1"/>
    <x v="0"/>
    <x v="0"/>
    <x v="3"/>
    <n v="3"/>
    <x v="1"/>
    <x v="1"/>
  </r>
  <r>
    <s v="TX500202"/>
    <x v="7"/>
    <x v="1"/>
    <n v="49.1"/>
    <n v="98.2"/>
    <x v="7"/>
    <d v="2025-01-16T00:00:00"/>
    <s v="M"/>
    <x v="3"/>
    <x v="2"/>
    <x v="0"/>
    <x v="3"/>
    <n v="8"/>
    <x v="1"/>
    <x v="1"/>
  </r>
  <r>
    <s v="TX500203"/>
    <x v="6"/>
    <x v="1"/>
    <n v="49.4"/>
    <n v="98.8"/>
    <x v="8"/>
    <d v="2025-01-10T00:00:00"/>
    <s v="F"/>
    <x v="2"/>
    <x v="0"/>
    <x v="0"/>
    <x v="3"/>
    <n v="1"/>
    <x v="1"/>
    <x v="2"/>
  </r>
  <r>
    <s v="TX500204"/>
    <x v="7"/>
    <x v="3"/>
    <n v="65.099999999999994"/>
    <n v="455.69999999999993"/>
    <x v="8"/>
    <d v="2025-01-12T00:00:00"/>
    <s v="F"/>
    <x v="2"/>
    <x v="2"/>
    <x v="0"/>
    <x v="3"/>
    <n v="3"/>
    <x v="1"/>
    <x v="2"/>
  </r>
  <r>
    <s v="TX500205"/>
    <x v="3"/>
    <x v="1"/>
    <n v="52.1"/>
    <n v="104.2"/>
    <x v="8"/>
    <d v="2025-01-13T00:00:00"/>
    <s v="F"/>
    <x v="2"/>
    <x v="0"/>
    <x v="0"/>
    <x v="3"/>
    <n v="4"/>
    <x v="1"/>
    <x v="2"/>
  </r>
  <r>
    <s v="TX500206"/>
    <x v="2"/>
    <x v="12"/>
    <n v="129.19999999999999"/>
    <n v="516.79999999999995"/>
    <x v="8"/>
    <d v="2025-01-10T00:00:00"/>
    <s v="F"/>
    <x v="1"/>
    <x v="0"/>
    <x v="0"/>
    <x v="3"/>
    <n v="1"/>
    <x v="1"/>
    <x v="2"/>
  </r>
  <r>
    <s v="TX500207"/>
    <x v="1"/>
    <x v="10"/>
    <n v="81.8"/>
    <n v="1554.2"/>
    <x v="8"/>
    <d v="2025-01-09T00:00:00"/>
    <s v="F"/>
    <x v="1"/>
    <x v="1"/>
    <x v="0"/>
    <x v="3"/>
    <n v="0"/>
    <x v="1"/>
    <x v="2"/>
  </r>
  <r>
    <s v="TX500208"/>
    <x v="17"/>
    <x v="0"/>
    <n v="24.9"/>
    <n v="24.9"/>
    <x v="8"/>
    <d v="2025-01-13T00:00:00"/>
    <s v="F"/>
    <x v="1"/>
    <x v="0"/>
    <x v="0"/>
    <x v="3"/>
    <n v="4"/>
    <x v="1"/>
    <x v="2"/>
  </r>
  <r>
    <s v="TX500209"/>
    <x v="0"/>
    <x v="2"/>
    <n v="49.4"/>
    <n v="148.19999999999999"/>
    <x v="8"/>
    <d v="2025-01-12T00:00:00"/>
    <s v="F"/>
    <x v="4"/>
    <x v="4"/>
    <x v="0"/>
    <x v="3"/>
    <n v="3"/>
    <x v="1"/>
    <x v="2"/>
  </r>
  <r>
    <s v="TX500210"/>
    <x v="8"/>
    <x v="1"/>
    <n v="22.7"/>
    <n v="45.4"/>
    <x v="8"/>
    <d v="2025-01-10T00:00:00"/>
    <s v="M"/>
    <x v="3"/>
    <x v="2"/>
    <x v="0"/>
    <x v="3"/>
    <n v="1"/>
    <x v="1"/>
    <x v="1"/>
  </r>
  <r>
    <s v="TX500211"/>
    <x v="1"/>
    <x v="0"/>
    <n v="77.3"/>
    <n v="77.3"/>
    <x v="8"/>
    <d v="2025-01-09T00:00:00"/>
    <s v="F"/>
    <x v="0"/>
    <x v="2"/>
    <x v="0"/>
    <x v="6"/>
    <n v="0"/>
    <x v="1"/>
    <x v="2"/>
  </r>
  <r>
    <s v="TX500212"/>
    <x v="1"/>
    <x v="9"/>
    <n v="109.1"/>
    <n v="545.5"/>
    <x v="8"/>
    <d v="2025-01-12T00:00:00"/>
    <s v="F"/>
    <x v="0"/>
    <x v="0"/>
    <x v="0"/>
    <x v="6"/>
    <n v="3"/>
    <x v="1"/>
    <x v="2"/>
  </r>
  <r>
    <s v="TX500213"/>
    <x v="2"/>
    <x v="12"/>
    <n v="53.9"/>
    <n v="215.6"/>
    <x v="8"/>
    <d v="2025-01-10T00:00:00"/>
    <s v="M"/>
    <x v="0"/>
    <x v="1"/>
    <x v="0"/>
    <x v="8"/>
    <n v="1"/>
    <x v="1"/>
    <x v="1"/>
  </r>
  <r>
    <s v="TX500214"/>
    <x v="9"/>
    <x v="18"/>
    <n v="21.2"/>
    <n v="551.19999999999993"/>
    <x v="8"/>
    <d v="2025-01-09T00:00:00"/>
    <s v="F"/>
    <x v="0"/>
    <x v="0"/>
    <x v="0"/>
    <x v="9"/>
    <n v="0"/>
    <x v="1"/>
    <x v="2"/>
  </r>
  <r>
    <s v="TX500215"/>
    <x v="16"/>
    <x v="12"/>
    <n v="69"/>
    <n v="276"/>
    <x v="8"/>
    <d v="2025-01-11T00:00:00"/>
    <s v="F"/>
    <x v="1"/>
    <x v="1"/>
    <x v="0"/>
    <x v="18"/>
    <n v="2"/>
    <x v="1"/>
    <x v="2"/>
  </r>
  <r>
    <s v="TX500216"/>
    <x v="6"/>
    <x v="2"/>
    <n v="46.2"/>
    <n v="138.60000000000002"/>
    <x v="8"/>
    <d v="2025-01-11T00:00:00"/>
    <s v="F"/>
    <x v="0"/>
    <x v="2"/>
    <x v="0"/>
    <x v="31"/>
    <n v="2"/>
    <x v="1"/>
    <x v="2"/>
  </r>
  <r>
    <s v="TX500217"/>
    <x v="1"/>
    <x v="9"/>
    <n v="97.4"/>
    <n v="487"/>
    <x v="8"/>
    <d v="2025-01-13T00:00:00"/>
    <s v="F"/>
    <x v="4"/>
    <x v="2"/>
    <x v="0"/>
    <x v="21"/>
    <n v="4"/>
    <x v="1"/>
    <x v="2"/>
  </r>
  <r>
    <s v="TX500218"/>
    <x v="8"/>
    <x v="9"/>
    <n v="21"/>
    <n v="105"/>
    <x v="8"/>
    <d v="2025-01-10T00:00:00"/>
    <s v="M"/>
    <x v="0"/>
    <x v="1"/>
    <x v="0"/>
    <x v="21"/>
    <n v="1"/>
    <x v="1"/>
    <x v="1"/>
  </r>
  <r>
    <s v="TX500219"/>
    <x v="5"/>
    <x v="1"/>
    <n v="32.700000000000003"/>
    <n v="65.400000000000006"/>
    <x v="9"/>
    <d v="2025-01-13T00:00:00"/>
    <s v="F"/>
    <x v="1"/>
    <x v="0"/>
    <x v="0"/>
    <x v="2"/>
    <n v="3"/>
    <x v="1"/>
    <x v="2"/>
  </r>
  <r>
    <s v="TX500220"/>
    <x v="6"/>
    <x v="12"/>
    <n v="48"/>
    <n v="192"/>
    <x v="9"/>
    <d v="2025-01-11T00:00:00"/>
    <s v="M"/>
    <x v="3"/>
    <x v="0"/>
    <x v="0"/>
    <x v="3"/>
    <n v="1"/>
    <x v="1"/>
    <x v="1"/>
  </r>
  <r>
    <s v="TX500221"/>
    <x v="6"/>
    <x v="2"/>
    <n v="68.2"/>
    <n v="204.60000000000002"/>
    <x v="9"/>
    <d v="2025-01-14T00:00:00"/>
    <s v=""/>
    <x v="0"/>
    <x v="2"/>
    <x v="0"/>
    <x v="3"/>
    <n v="4"/>
    <x v="1"/>
    <x v="0"/>
  </r>
  <r>
    <s v="TX500222"/>
    <x v="5"/>
    <x v="0"/>
    <n v="45.4"/>
    <n v="45.4"/>
    <x v="9"/>
    <d v="2025-01-12T00:00:00"/>
    <s v="M"/>
    <x v="1"/>
    <x v="0"/>
    <x v="0"/>
    <x v="3"/>
    <n v="2"/>
    <x v="1"/>
    <x v="1"/>
  </r>
  <r>
    <s v="TX500223"/>
    <x v="12"/>
    <x v="1"/>
    <n v="53.9"/>
    <n v="107.8"/>
    <x v="9"/>
    <d v="2025-01-11T00:00:00"/>
    <s v="F"/>
    <x v="2"/>
    <x v="0"/>
    <x v="0"/>
    <x v="3"/>
    <n v="1"/>
    <x v="1"/>
    <x v="2"/>
  </r>
  <r>
    <s v="TX500224"/>
    <x v="2"/>
    <x v="12"/>
    <n v="62.1"/>
    <n v="248.4"/>
    <x v="9"/>
    <d v="2025-01-14T00:00:00"/>
    <s v="F"/>
    <x v="0"/>
    <x v="0"/>
    <x v="0"/>
    <x v="4"/>
    <n v="4"/>
    <x v="1"/>
    <x v="2"/>
  </r>
  <r>
    <s v="TX500225"/>
    <x v="13"/>
    <x v="3"/>
    <n v="33.1"/>
    <n v="231.70000000000002"/>
    <x v="9"/>
    <d v="2025-01-15T00:00:00"/>
    <s v="M"/>
    <x v="1"/>
    <x v="0"/>
    <x v="0"/>
    <x v="6"/>
    <n v="5"/>
    <x v="1"/>
    <x v="1"/>
  </r>
  <r>
    <s v="TX500226"/>
    <x v="18"/>
    <x v="9"/>
    <n v="35.200000000000003"/>
    <n v="176"/>
    <x v="9"/>
    <d v="2025-01-10T00:00:00"/>
    <s v="F"/>
    <x v="1"/>
    <x v="0"/>
    <x v="0"/>
    <x v="6"/>
    <n v="0"/>
    <x v="1"/>
    <x v="2"/>
  </r>
  <r>
    <s v="TX500227"/>
    <x v="9"/>
    <x v="2"/>
    <n v="32.1"/>
    <n v="96.300000000000011"/>
    <x v="9"/>
    <d v="2025-01-15T00:00:00"/>
    <s v="M"/>
    <x v="3"/>
    <x v="0"/>
    <x v="0"/>
    <x v="8"/>
    <n v="5"/>
    <x v="1"/>
    <x v="1"/>
  </r>
  <r>
    <s v="TX500228"/>
    <x v="11"/>
    <x v="0"/>
    <n v="38.1"/>
    <n v="38.1"/>
    <x v="9"/>
    <d v="2025-01-15T00:00:00"/>
    <s v="F"/>
    <x v="0"/>
    <x v="2"/>
    <x v="0"/>
    <x v="8"/>
    <n v="5"/>
    <x v="1"/>
    <x v="2"/>
  </r>
  <r>
    <s v="TX500229"/>
    <x v="8"/>
    <x v="0"/>
    <n v="65.2"/>
    <n v="65.2"/>
    <x v="9"/>
    <d v="2025-01-15T00:00:00"/>
    <s v="F"/>
    <x v="3"/>
    <x v="1"/>
    <x v="0"/>
    <x v="8"/>
    <n v="5"/>
    <x v="1"/>
    <x v="2"/>
  </r>
  <r>
    <s v="TX500230"/>
    <x v="10"/>
    <x v="3"/>
    <n v="55.2"/>
    <n v="386.40000000000003"/>
    <x v="9"/>
    <d v="2025-01-11T00:00:00"/>
    <s v="M"/>
    <x v="2"/>
    <x v="0"/>
    <x v="0"/>
    <x v="11"/>
    <n v="1"/>
    <x v="1"/>
    <x v="1"/>
  </r>
  <r>
    <s v="TX500231"/>
    <x v="6"/>
    <x v="0"/>
    <n v="62"/>
    <n v="62"/>
    <x v="9"/>
    <d v="2025-01-14T00:00:00"/>
    <s v="F"/>
    <x v="0"/>
    <x v="0"/>
    <x v="0"/>
    <x v="11"/>
    <n v="4"/>
    <x v="1"/>
    <x v="2"/>
  </r>
  <r>
    <s v="TX500232"/>
    <x v="7"/>
    <x v="2"/>
    <n v="45.9"/>
    <n v="137.69999999999999"/>
    <x v="9"/>
    <d v="2025-01-11T00:00:00"/>
    <s v="F"/>
    <x v="2"/>
    <x v="0"/>
    <x v="0"/>
    <x v="32"/>
    <n v="1"/>
    <x v="1"/>
    <x v="2"/>
  </r>
  <r>
    <s v="TX500233"/>
    <x v="18"/>
    <x v="2"/>
    <n v="58.3"/>
    <n v="174.89999999999998"/>
    <x v="9"/>
    <d v="2025-01-10T00:00:00"/>
    <s v="M"/>
    <x v="1"/>
    <x v="1"/>
    <x v="0"/>
    <x v="18"/>
    <n v="0"/>
    <x v="1"/>
    <x v="1"/>
  </r>
  <r>
    <s v="TX500234"/>
    <x v="8"/>
    <x v="1"/>
    <n v="22.3"/>
    <n v="44.6"/>
    <x v="9"/>
    <d v="2025-01-13T00:00:00"/>
    <s v="F"/>
    <x v="0"/>
    <x v="2"/>
    <x v="0"/>
    <x v="20"/>
    <n v="3"/>
    <x v="1"/>
    <x v="2"/>
  </r>
  <r>
    <s v="TX500235"/>
    <x v="19"/>
    <x v="9"/>
    <n v="24"/>
    <n v="120"/>
    <x v="9"/>
    <d v="2025-01-11T00:00:00"/>
    <s v="M"/>
    <x v="4"/>
    <x v="0"/>
    <x v="0"/>
    <x v="1"/>
    <n v="1"/>
    <x v="1"/>
    <x v="1"/>
  </r>
  <r>
    <s v="TX500236"/>
    <x v="0"/>
    <x v="7"/>
    <n v="21.3"/>
    <n v="213"/>
    <x v="9"/>
    <d v="2025-01-10T00:00:00"/>
    <s v="F"/>
    <x v="1"/>
    <x v="2"/>
    <x v="0"/>
    <x v="22"/>
    <n v="0"/>
    <x v="1"/>
    <x v="2"/>
  </r>
  <r>
    <s v="TX500237"/>
    <x v="6"/>
    <x v="24"/>
    <n v="57.8"/>
    <n v="2369.7999999999997"/>
    <x v="9"/>
    <d v="2025-01-12T00:00:00"/>
    <s v="F"/>
    <x v="0"/>
    <x v="2"/>
    <x v="0"/>
    <x v="3"/>
    <n v="2"/>
    <x v="1"/>
    <x v="2"/>
  </r>
  <r>
    <s v="TX500238"/>
    <x v="10"/>
    <x v="2"/>
    <n v="67.599999999999994"/>
    <n v="202.79999999999998"/>
    <x v="9"/>
    <d v="2025-01-11T00:00:00"/>
    <s v="F"/>
    <x v="0"/>
    <x v="0"/>
    <x v="0"/>
    <x v="3"/>
    <n v="1"/>
    <x v="1"/>
    <x v="2"/>
  </r>
  <r>
    <s v="TX500239"/>
    <x v="6"/>
    <x v="13"/>
    <n v="66.7"/>
    <n v="400.20000000000005"/>
    <x v="9"/>
    <d v="2025-01-14T00:00:00"/>
    <s v="M"/>
    <x v="4"/>
    <x v="1"/>
    <x v="0"/>
    <x v="3"/>
    <n v="4"/>
    <x v="1"/>
    <x v="1"/>
  </r>
  <r>
    <s v="TX500240"/>
    <x v="1"/>
    <x v="12"/>
    <n v="53.1"/>
    <n v="212.4"/>
    <x v="9"/>
    <d v="2025-01-12T00:00:00"/>
    <s v="F"/>
    <x v="1"/>
    <x v="0"/>
    <x v="0"/>
    <x v="3"/>
    <n v="2"/>
    <x v="1"/>
    <x v="2"/>
  </r>
  <r>
    <s v="TX500241"/>
    <x v="12"/>
    <x v="2"/>
    <n v="57.4"/>
    <n v="172.2"/>
    <x v="9"/>
    <d v="2025-01-13T00:00:00"/>
    <s v="F"/>
    <x v="0"/>
    <x v="2"/>
    <x v="0"/>
    <x v="29"/>
    <n v="3"/>
    <x v="1"/>
    <x v="2"/>
  </r>
  <r>
    <s v="TX500242"/>
    <x v="2"/>
    <x v="9"/>
    <n v="58.1"/>
    <n v="290.5"/>
    <x v="9"/>
    <d v="2025-01-10T00:00:00"/>
    <s v="M"/>
    <x v="2"/>
    <x v="2"/>
    <x v="0"/>
    <x v="6"/>
    <n v="0"/>
    <x v="1"/>
    <x v="1"/>
  </r>
  <r>
    <s v="TX500243"/>
    <x v="5"/>
    <x v="2"/>
    <n v="31.8"/>
    <n v="95.4"/>
    <x v="10"/>
    <d v="2025-01-13T00:00:00"/>
    <s v="M"/>
    <x v="3"/>
    <x v="0"/>
    <x v="0"/>
    <x v="6"/>
    <n v="2"/>
    <x v="1"/>
    <x v="1"/>
  </r>
  <r>
    <s v="TX500244"/>
    <x v="4"/>
    <x v="2"/>
    <n v="31.5"/>
    <n v="94.5"/>
    <x v="10"/>
    <d v="2025-01-14T00:00:00"/>
    <s v="M"/>
    <x v="0"/>
    <x v="1"/>
    <x v="0"/>
    <x v="8"/>
    <n v="3"/>
    <x v="1"/>
    <x v="1"/>
  </r>
  <r>
    <s v="TX500245"/>
    <x v="6"/>
    <x v="3"/>
    <n v="55.9"/>
    <n v="391.3"/>
    <x v="10"/>
    <d v="2025-01-15T00:00:00"/>
    <s v="F"/>
    <x v="1"/>
    <x v="2"/>
    <x v="0"/>
    <x v="8"/>
    <n v="4"/>
    <x v="1"/>
    <x v="2"/>
  </r>
  <r>
    <s v="TX500246"/>
    <x v="8"/>
    <x v="1"/>
    <n v="36.4"/>
    <n v="72.8"/>
    <x v="10"/>
    <d v="2025-01-12T00:00:00"/>
    <s v="M"/>
    <x v="1"/>
    <x v="1"/>
    <x v="0"/>
    <x v="9"/>
    <n v="1"/>
    <x v="1"/>
    <x v="1"/>
  </r>
  <r>
    <s v="TX500247"/>
    <x v="1"/>
    <x v="9"/>
    <n v="47.3"/>
    <n v="236.5"/>
    <x v="10"/>
    <d v="2025-01-14T00:00:00"/>
    <s v="M"/>
    <x v="2"/>
    <x v="0"/>
    <x v="0"/>
    <x v="10"/>
    <n v="3"/>
    <x v="1"/>
    <x v="1"/>
  </r>
  <r>
    <s v="TX500248"/>
    <x v="6"/>
    <x v="2"/>
    <n v="82.5"/>
    <n v="247.5"/>
    <x v="10"/>
    <d v="2025-01-12T00:00:00"/>
    <s v="M"/>
    <x v="0"/>
    <x v="0"/>
    <x v="0"/>
    <x v="11"/>
    <n v="1"/>
    <x v="1"/>
    <x v="1"/>
  </r>
  <r>
    <s v="TX500249"/>
    <x v="0"/>
    <x v="0"/>
    <n v="14.3"/>
    <n v="14.3"/>
    <x v="10"/>
    <d v="2025-01-12T00:00:00"/>
    <s v="F"/>
    <x v="0"/>
    <x v="0"/>
    <x v="0"/>
    <x v="21"/>
    <n v="1"/>
    <x v="1"/>
    <x v="2"/>
  </r>
  <r>
    <s v="TX500250"/>
    <x v="2"/>
    <x v="13"/>
    <n v="57.6"/>
    <n v="345.6"/>
    <x v="10"/>
    <d v="2025-01-25T00:00:00"/>
    <s v="F"/>
    <x v="0"/>
    <x v="0"/>
    <x v="0"/>
    <x v="21"/>
    <n v="14"/>
    <x v="1"/>
    <x v="2"/>
  </r>
  <r>
    <s v="TX500251"/>
    <x v="2"/>
    <x v="2"/>
    <n v="142.4"/>
    <n v="427.20000000000005"/>
    <x v="10"/>
    <d v="2025-01-13T00:00:00"/>
    <s v="M"/>
    <x v="4"/>
    <x v="1"/>
    <x v="0"/>
    <x v="21"/>
    <n v="2"/>
    <x v="1"/>
    <x v="1"/>
  </r>
  <r>
    <s v="TX500252"/>
    <x v="12"/>
    <x v="0"/>
    <n v="30.2"/>
    <n v="30.2"/>
    <x v="10"/>
    <d v="2025-01-15T00:00:00"/>
    <s v="M"/>
    <x v="1"/>
    <x v="2"/>
    <x v="0"/>
    <x v="2"/>
    <n v="4"/>
    <x v="1"/>
    <x v="1"/>
  </r>
  <r>
    <s v="TX500253"/>
    <x v="18"/>
    <x v="2"/>
    <n v="65.3"/>
    <n v="195.89999999999998"/>
    <x v="10"/>
    <d v="2025-01-12T00:00:00"/>
    <s v="O"/>
    <x v="1"/>
    <x v="0"/>
    <x v="0"/>
    <x v="33"/>
    <n v="1"/>
    <x v="1"/>
    <x v="3"/>
  </r>
  <r>
    <s v="TX500254"/>
    <x v="0"/>
    <x v="1"/>
    <n v="33.4"/>
    <n v="66.8"/>
    <x v="10"/>
    <d v="2025-01-12T00:00:00"/>
    <s v="M"/>
    <x v="1"/>
    <x v="1"/>
    <x v="0"/>
    <x v="22"/>
    <n v="1"/>
    <x v="1"/>
    <x v="1"/>
  </r>
  <r>
    <s v="TX500255"/>
    <x v="7"/>
    <x v="1"/>
    <n v="45.1"/>
    <n v="90.2"/>
    <x v="10"/>
    <d v="2025-01-19T00:00:00"/>
    <s v="M"/>
    <x v="0"/>
    <x v="0"/>
    <x v="0"/>
    <x v="34"/>
    <n v="8"/>
    <x v="1"/>
    <x v="1"/>
  </r>
  <r>
    <s v="TX500256"/>
    <x v="2"/>
    <x v="3"/>
    <n v="61.7"/>
    <n v="431.90000000000003"/>
    <x v="10"/>
    <d v="2025-01-13T00:00:00"/>
    <s v="F"/>
    <x v="4"/>
    <x v="0"/>
    <x v="0"/>
    <x v="3"/>
    <n v="2"/>
    <x v="1"/>
    <x v="2"/>
  </r>
  <r>
    <s v="TX500257"/>
    <x v="9"/>
    <x v="2"/>
    <n v="45.1"/>
    <n v="135.30000000000001"/>
    <x v="11"/>
    <d v="2025-01-13T00:00:00"/>
    <s v="M"/>
    <x v="4"/>
    <x v="1"/>
    <x v="0"/>
    <x v="3"/>
    <n v="1"/>
    <x v="2"/>
    <x v="1"/>
  </r>
  <r>
    <s v="TX500258"/>
    <x v="15"/>
    <x v="9"/>
    <n v="22.7"/>
    <n v="113.5"/>
    <x v="11"/>
    <d v="2025-01-17T00:00:00"/>
    <s v="M"/>
    <x v="0"/>
    <x v="2"/>
    <x v="0"/>
    <x v="35"/>
    <n v="5"/>
    <x v="2"/>
    <x v="1"/>
  </r>
  <r>
    <s v="TX500259"/>
    <x v="8"/>
    <x v="0"/>
    <n v="17.600000000000001"/>
    <n v="17.600000000000001"/>
    <x v="11"/>
    <d v="2025-01-13T00:00:00"/>
    <s v="F"/>
    <x v="0"/>
    <x v="2"/>
    <x v="0"/>
    <x v="23"/>
    <n v="1"/>
    <x v="2"/>
    <x v="2"/>
  </r>
  <r>
    <s v="TX500260"/>
    <x v="14"/>
    <x v="1"/>
    <n v="11.3"/>
    <n v="22.6"/>
    <x v="11"/>
    <d v="2025-01-15T00:00:00"/>
    <s v="F"/>
    <x v="3"/>
    <x v="2"/>
    <x v="0"/>
    <x v="23"/>
    <n v="3"/>
    <x v="2"/>
    <x v="2"/>
  </r>
  <r>
    <s v="TX500261"/>
    <x v="6"/>
    <x v="2"/>
    <n v="53.4"/>
    <n v="160.19999999999999"/>
    <x v="11"/>
    <d v="2025-01-15T00:00:00"/>
    <s v="M"/>
    <x v="3"/>
    <x v="2"/>
    <x v="0"/>
    <x v="36"/>
    <n v="3"/>
    <x v="2"/>
    <x v="1"/>
  </r>
  <r>
    <s v="TX500262"/>
    <x v="6"/>
    <x v="5"/>
    <n v="51.1"/>
    <n v="562.1"/>
    <x v="11"/>
    <d v="2025-01-14T00:00:00"/>
    <s v="F"/>
    <x v="2"/>
    <x v="2"/>
    <x v="0"/>
    <x v="8"/>
    <n v="2"/>
    <x v="2"/>
    <x v="2"/>
  </r>
  <r>
    <s v="TX500263"/>
    <x v="8"/>
    <x v="1"/>
    <n v="27.5"/>
    <n v="55"/>
    <x v="11"/>
    <d v="2025-01-13T00:00:00"/>
    <s v="M"/>
    <x v="4"/>
    <x v="1"/>
    <x v="0"/>
    <x v="8"/>
    <n v="1"/>
    <x v="2"/>
    <x v="1"/>
  </r>
  <r>
    <s v="TX500264"/>
    <x v="9"/>
    <x v="0"/>
    <n v="33.5"/>
    <n v="33.5"/>
    <x v="11"/>
    <d v="2025-01-14T00:00:00"/>
    <s v="F"/>
    <x v="0"/>
    <x v="4"/>
    <x v="0"/>
    <x v="8"/>
    <n v="2"/>
    <x v="2"/>
    <x v="2"/>
  </r>
  <r>
    <s v="TX500265"/>
    <x v="4"/>
    <x v="0"/>
    <n v="59.5"/>
    <n v="59.5"/>
    <x v="11"/>
    <d v="2025-01-12T00:00:00"/>
    <s v="M"/>
    <x v="0"/>
    <x v="2"/>
    <x v="0"/>
    <x v="18"/>
    <n v="0"/>
    <x v="2"/>
    <x v="1"/>
  </r>
  <r>
    <s v="TX500266"/>
    <x v="17"/>
    <x v="12"/>
    <n v="23.5"/>
    <n v="94"/>
    <x v="11"/>
    <d v="2025-01-13T00:00:00"/>
    <s v="F"/>
    <x v="3"/>
    <x v="3"/>
    <x v="0"/>
    <x v="19"/>
    <n v="1"/>
    <x v="2"/>
    <x v="2"/>
  </r>
  <r>
    <s v="TX500267"/>
    <x v="6"/>
    <x v="0"/>
    <n v="49.7"/>
    <n v="49.7"/>
    <x v="11"/>
    <d v="2025-01-13T00:00:00"/>
    <s v=""/>
    <x v="1"/>
    <x v="2"/>
    <x v="0"/>
    <x v="20"/>
    <n v="1"/>
    <x v="2"/>
    <x v="0"/>
  </r>
  <r>
    <s v="TX500268"/>
    <x v="6"/>
    <x v="12"/>
    <n v="44.2"/>
    <n v="176.8"/>
    <x v="11"/>
    <d v="2025-01-15T00:00:00"/>
    <s v="F"/>
    <x v="0"/>
    <x v="2"/>
    <x v="0"/>
    <x v="21"/>
    <n v="3"/>
    <x v="2"/>
    <x v="2"/>
  </r>
  <r>
    <s v="TX500269"/>
    <x v="8"/>
    <x v="0"/>
    <n v="22.1"/>
    <n v="22.1"/>
    <x v="11"/>
    <d v="2025-01-16T00:00:00"/>
    <s v="F"/>
    <x v="1"/>
    <x v="1"/>
    <x v="0"/>
    <x v="33"/>
    <n v="4"/>
    <x v="2"/>
    <x v="2"/>
  </r>
  <r>
    <s v="TX500270"/>
    <x v="6"/>
    <x v="2"/>
    <n v="90.9"/>
    <n v="272.70000000000005"/>
    <x v="11"/>
    <d v="2025-01-13T00:00:00"/>
    <s v="F"/>
    <x v="2"/>
    <x v="4"/>
    <x v="0"/>
    <x v="3"/>
    <n v="1"/>
    <x v="2"/>
    <x v="2"/>
  </r>
  <r>
    <s v="TX500271"/>
    <x v="8"/>
    <x v="2"/>
    <n v="44.5"/>
    <n v="133.5"/>
    <x v="11"/>
    <d v="2025-01-13T00:00:00"/>
    <s v="F"/>
    <x v="1"/>
    <x v="0"/>
    <x v="0"/>
    <x v="3"/>
    <n v="1"/>
    <x v="2"/>
    <x v="2"/>
  </r>
  <r>
    <s v="TX500272"/>
    <x v="9"/>
    <x v="13"/>
    <n v="32.299999999999997"/>
    <n v="193.79999999999998"/>
    <x v="11"/>
    <d v="2025-01-16T00:00:00"/>
    <s v="F"/>
    <x v="0"/>
    <x v="0"/>
    <x v="0"/>
    <x v="3"/>
    <n v="4"/>
    <x v="2"/>
    <x v="2"/>
  </r>
  <r>
    <s v="TX500273"/>
    <x v="17"/>
    <x v="2"/>
    <n v="87.5"/>
    <n v="262.5"/>
    <x v="11"/>
    <d v="2025-01-13T00:00:00"/>
    <s v="F"/>
    <x v="1"/>
    <x v="1"/>
    <x v="0"/>
    <x v="3"/>
    <n v="1"/>
    <x v="2"/>
    <x v="2"/>
  </r>
  <r>
    <s v="TX500274"/>
    <x v="16"/>
    <x v="9"/>
    <n v="48.7"/>
    <n v="243.5"/>
    <x v="11"/>
    <d v="2025-01-13T00:00:00"/>
    <s v="M"/>
    <x v="2"/>
    <x v="0"/>
    <x v="0"/>
    <x v="3"/>
    <n v="1"/>
    <x v="2"/>
    <x v="1"/>
  </r>
  <r>
    <s v="TX500275"/>
    <x v="0"/>
    <x v="9"/>
    <n v="22.5"/>
    <n v="112.5"/>
    <x v="11"/>
    <d v="2025-01-13T00:00:00"/>
    <s v="M"/>
    <x v="0"/>
    <x v="0"/>
    <x v="0"/>
    <x v="3"/>
    <n v="1"/>
    <x v="2"/>
    <x v="1"/>
  </r>
  <r>
    <s v="TX500276"/>
    <x v="1"/>
    <x v="8"/>
    <n v="65.900000000000006"/>
    <n v="527.20000000000005"/>
    <x v="11"/>
    <d v="2025-01-15T00:00:00"/>
    <s v="F"/>
    <x v="1"/>
    <x v="2"/>
    <x v="0"/>
    <x v="3"/>
    <n v="3"/>
    <x v="2"/>
    <x v="2"/>
  </r>
  <r>
    <s v="TX500277"/>
    <x v="6"/>
    <x v="9"/>
    <n v="41.9"/>
    <n v="209.5"/>
    <x v="11"/>
    <d v="2025-01-19T00:00:00"/>
    <s v=""/>
    <x v="0"/>
    <x v="0"/>
    <x v="0"/>
    <x v="3"/>
    <n v="7"/>
    <x v="2"/>
    <x v="0"/>
  </r>
  <r>
    <s v="TX500278"/>
    <x v="1"/>
    <x v="9"/>
    <n v="67.5"/>
    <n v="337.5"/>
    <x v="11"/>
    <d v="2025-01-13T00:00:00"/>
    <s v="F"/>
    <x v="0"/>
    <x v="2"/>
    <x v="0"/>
    <x v="3"/>
    <n v="1"/>
    <x v="2"/>
    <x v="2"/>
  </r>
  <r>
    <s v="TX500279"/>
    <x v="9"/>
    <x v="0"/>
    <n v="60.4"/>
    <n v="60.4"/>
    <x v="12"/>
    <d v="2025-01-15T00:00:00"/>
    <s v="F"/>
    <x v="1"/>
    <x v="1"/>
    <x v="0"/>
    <x v="3"/>
    <n v="2"/>
    <x v="2"/>
    <x v="2"/>
  </r>
  <r>
    <s v="TX500280"/>
    <x v="1"/>
    <x v="3"/>
    <n v="30.4"/>
    <n v="212.79999999999998"/>
    <x v="12"/>
    <d v="2025-01-16T00:00:00"/>
    <s v="F"/>
    <x v="4"/>
    <x v="0"/>
    <x v="0"/>
    <x v="3"/>
    <n v="3"/>
    <x v="2"/>
    <x v="2"/>
  </r>
  <r>
    <s v="TX500281"/>
    <x v="14"/>
    <x v="1"/>
    <n v="24.5"/>
    <n v="49"/>
    <x v="12"/>
    <d v="2025-01-14T00:00:00"/>
    <s v="M"/>
    <x v="3"/>
    <x v="2"/>
    <x v="0"/>
    <x v="3"/>
    <n v="1"/>
    <x v="2"/>
    <x v="1"/>
  </r>
  <r>
    <s v="TX500282"/>
    <x v="2"/>
    <x v="2"/>
    <n v="105.9"/>
    <n v="317.70000000000005"/>
    <x v="12"/>
    <d v="2025-01-18T00:00:00"/>
    <s v="M"/>
    <x v="0"/>
    <x v="0"/>
    <x v="0"/>
    <x v="37"/>
    <n v="5"/>
    <x v="2"/>
    <x v="1"/>
  </r>
  <r>
    <s v="TX500283"/>
    <x v="10"/>
    <x v="25"/>
    <n v="25.9"/>
    <n v="621.59999999999991"/>
    <x v="12"/>
    <d v="2025-01-14T00:00:00"/>
    <s v="F"/>
    <x v="4"/>
    <x v="0"/>
    <x v="0"/>
    <x v="23"/>
    <n v="1"/>
    <x v="2"/>
    <x v="2"/>
  </r>
  <r>
    <s v="TX500284"/>
    <x v="6"/>
    <x v="2"/>
    <n v="66.8"/>
    <n v="200.39999999999998"/>
    <x v="12"/>
    <d v="2025-01-13T00:00:00"/>
    <s v="M"/>
    <x v="0"/>
    <x v="0"/>
    <x v="0"/>
    <x v="23"/>
    <n v="0"/>
    <x v="2"/>
    <x v="1"/>
  </r>
  <r>
    <s v="TX500285"/>
    <x v="6"/>
    <x v="2"/>
    <n v="112.3"/>
    <n v="336.9"/>
    <x v="12"/>
    <d v="2025-01-14T00:00:00"/>
    <s v="M"/>
    <x v="2"/>
    <x v="4"/>
    <x v="0"/>
    <x v="6"/>
    <n v="1"/>
    <x v="2"/>
    <x v="1"/>
  </r>
  <r>
    <s v="TX500286"/>
    <x v="1"/>
    <x v="13"/>
    <n v="94.1"/>
    <n v="564.59999999999991"/>
    <x v="12"/>
    <d v="2025-01-14T00:00:00"/>
    <s v="F"/>
    <x v="0"/>
    <x v="4"/>
    <x v="0"/>
    <x v="6"/>
    <n v="1"/>
    <x v="2"/>
    <x v="2"/>
  </r>
  <r>
    <s v="TX500287"/>
    <x v="5"/>
    <x v="0"/>
    <n v="40.700000000000003"/>
    <n v="40.700000000000003"/>
    <x v="12"/>
    <d v="2025-01-16T00:00:00"/>
    <s v="F"/>
    <x v="2"/>
    <x v="0"/>
    <x v="0"/>
    <x v="6"/>
    <n v="3"/>
    <x v="2"/>
    <x v="2"/>
  </r>
  <r>
    <s v="TX500288"/>
    <x v="3"/>
    <x v="1"/>
    <n v="71.400000000000006"/>
    <n v="142.80000000000001"/>
    <x v="12"/>
    <d v="2025-01-14T00:00:00"/>
    <s v="M"/>
    <x v="0"/>
    <x v="0"/>
    <x v="0"/>
    <x v="7"/>
    <n v="1"/>
    <x v="2"/>
    <x v="1"/>
  </r>
  <r>
    <s v="TX500289"/>
    <x v="0"/>
    <x v="16"/>
    <n v="15.6"/>
    <n v="280.8"/>
    <x v="12"/>
    <d v="2025-01-14T00:00:00"/>
    <s v="M"/>
    <x v="1"/>
    <x v="3"/>
    <x v="0"/>
    <x v="8"/>
    <n v="1"/>
    <x v="2"/>
    <x v="1"/>
  </r>
  <r>
    <s v="TX500290"/>
    <x v="10"/>
    <x v="12"/>
    <n v="37.799999999999997"/>
    <n v="151.19999999999999"/>
    <x v="12"/>
    <d v="2025-01-14T00:00:00"/>
    <s v="M"/>
    <x v="2"/>
    <x v="2"/>
    <x v="0"/>
    <x v="8"/>
    <n v="1"/>
    <x v="2"/>
    <x v="1"/>
  </r>
  <r>
    <s v="TX500291"/>
    <x v="4"/>
    <x v="2"/>
    <n v="28.1"/>
    <n v="84.300000000000011"/>
    <x v="12"/>
    <d v="2025-01-17T00:00:00"/>
    <s v="M"/>
    <x v="0"/>
    <x v="0"/>
    <x v="0"/>
    <x v="8"/>
    <n v="4"/>
    <x v="2"/>
    <x v="1"/>
  </r>
  <r>
    <s v="TX500292"/>
    <x v="7"/>
    <x v="13"/>
    <n v="51.4"/>
    <n v="308.39999999999998"/>
    <x v="12"/>
    <d v="2025-01-17T00:00:00"/>
    <s v="M"/>
    <x v="0"/>
    <x v="0"/>
    <x v="0"/>
    <x v="8"/>
    <n v="4"/>
    <x v="2"/>
    <x v="1"/>
  </r>
  <r>
    <s v="TX500293"/>
    <x v="7"/>
    <x v="1"/>
    <n v="97.7"/>
    <n v="195.4"/>
    <x v="12"/>
    <d v="2025-01-15T00:00:00"/>
    <s v="F"/>
    <x v="4"/>
    <x v="2"/>
    <x v="0"/>
    <x v="17"/>
    <n v="2"/>
    <x v="2"/>
    <x v="2"/>
  </r>
  <r>
    <s v="TX500294"/>
    <x v="1"/>
    <x v="12"/>
    <n v="63.8"/>
    <n v="255.2"/>
    <x v="12"/>
    <d v="2025-01-14T00:00:00"/>
    <s v="M"/>
    <x v="2"/>
    <x v="0"/>
    <x v="0"/>
    <x v="38"/>
    <n v="1"/>
    <x v="2"/>
    <x v="1"/>
  </r>
  <r>
    <s v="TX500295"/>
    <x v="13"/>
    <x v="1"/>
    <n v="20.100000000000001"/>
    <n v="40.200000000000003"/>
    <x v="12"/>
    <d v="2025-01-15T00:00:00"/>
    <s v="M"/>
    <x v="0"/>
    <x v="2"/>
    <x v="0"/>
    <x v="20"/>
    <n v="2"/>
    <x v="2"/>
    <x v="1"/>
  </r>
  <r>
    <s v="TX500296"/>
    <x v="11"/>
    <x v="2"/>
    <n v="50.4"/>
    <n v="151.19999999999999"/>
    <x v="12"/>
    <d v="2025-01-16T00:00:00"/>
    <s v="F"/>
    <x v="3"/>
    <x v="0"/>
    <x v="0"/>
    <x v="13"/>
    <n v="3"/>
    <x v="2"/>
    <x v="2"/>
  </r>
  <r>
    <s v="TX500297"/>
    <x v="0"/>
    <x v="0"/>
    <n v="16.2"/>
    <n v="16.2"/>
    <x v="12"/>
    <d v="2025-01-26T00:00:00"/>
    <s v="F"/>
    <x v="1"/>
    <x v="0"/>
    <x v="0"/>
    <x v="1"/>
    <n v="13"/>
    <x v="2"/>
    <x v="2"/>
  </r>
  <r>
    <s v="TX500298"/>
    <x v="6"/>
    <x v="3"/>
    <n v="80.900000000000006"/>
    <n v="566.30000000000007"/>
    <x v="12"/>
    <d v="2025-01-15T00:00:00"/>
    <s v="M"/>
    <x v="4"/>
    <x v="4"/>
    <x v="0"/>
    <x v="2"/>
    <n v="2"/>
    <x v="2"/>
    <x v="1"/>
  </r>
  <r>
    <s v="TX500299"/>
    <x v="9"/>
    <x v="13"/>
    <n v="95.2"/>
    <n v="571.20000000000005"/>
    <x v="12"/>
    <d v="2025-01-15T00:00:00"/>
    <s v="F"/>
    <x v="0"/>
    <x v="2"/>
    <x v="0"/>
    <x v="2"/>
    <n v="2"/>
    <x v="2"/>
    <x v="2"/>
  </r>
  <r>
    <s v="TX500300"/>
    <x v="5"/>
    <x v="8"/>
    <n v="70.400000000000006"/>
    <n v="563.20000000000005"/>
    <x v="12"/>
    <d v="2025-01-14T00:00:00"/>
    <s v="M"/>
    <x v="1"/>
    <x v="1"/>
    <x v="0"/>
    <x v="3"/>
    <n v="1"/>
    <x v="2"/>
    <x v="1"/>
  </r>
  <r>
    <s v="TX500301"/>
    <x v="0"/>
    <x v="9"/>
    <n v="10.7"/>
    <n v="53.5"/>
    <x v="12"/>
    <d v="2025-01-17T00:00:00"/>
    <s v="F"/>
    <x v="2"/>
    <x v="0"/>
    <x v="0"/>
    <x v="3"/>
    <n v="4"/>
    <x v="2"/>
    <x v="2"/>
  </r>
  <r>
    <s v="TX500302"/>
    <x v="8"/>
    <x v="9"/>
    <n v="19.600000000000001"/>
    <n v="98"/>
    <x v="12"/>
    <d v="2025-01-15T00:00:00"/>
    <s v="F"/>
    <x v="0"/>
    <x v="3"/>
    <x v="0"/>
    <x v="3"/>
    <n v="2"/>
    <x v="2"/>
    <x v="2"/>
  </r>
  <r>
    <s v="TX500303"/>
    <x v="8"/>
    <x v="5"/>
    <n v="34.700000000000003"/>
    <n v="381.70000000000005"/>
    <x v="12"/>
    <d v="2025-01-15T00:00:00"/>
    <s v="F"/>
    <x v="0"/>
    <x v="2"/>
    <x v="0"/>
    <x v="3"/>
    <n v="2"/>
    <x v="2"/>
    <x v="2"/>
  </r>
  <r>
    <s v="TX500304"/>
    <x v="10"/>
    <x v="11"/>
    <n v="34.1"/>
    <n v="306.90000000000003"/>
    <x v="12"/>
    <d v="2025-01-14T00:00:00"/>
    <s v="F"/>
    <x v="4"/>
    <x v="1"/>
    <x v="0"/>
    <x v="3"/>
    <n v="1"/>
    <x v="2"/>
    <x v="2"/>
  </r>
  <r>
    <s v="TX500305"/>
    <x v="0"/>
    <x v="26"/>
    <n v="29.3"/>
    <n v="1435.7"/>
    <x v="12"/>
    <d v="2025-01-13T00:00:00"/>
    <s v="M"/>
    <x v="0"/>
    <x v="1"/>
    <x v="0"/>
    <x v="3"/>
    <n v="0"/>
    <x v="2"/>
    <x v="1"/>
  </r>
  <r>
    <s v="TX500306"/>
    <x v="1"/>
    <x v="0"/>
    <n v="55.2"/>
    <n v="55.2"/>
    <x v="12"/>
    <d v="2025-01-14T00:00:00"/>
    <s v="F"/>
    <x v="0"/>
    <x v="1"/>
    <x v="0"/>
    <x v="3"/>
    <n v="1"/>
    <x v="2"/>
    <x v="2"/>
  </r>
  <r>
    <s v="TX500307"/>
    <x v="18"/>
    <x v="2"/>
    <n v="26"/>
    <n v="78"/>
    <x v="12"/>
    <d v="2025-01-16T00:00:00"/>
    <s v="F"/>
    <x v="0"/>
    <x v="2"/>
    <x v="0"/>
    <x v="3"/>
    <n v="3"/>
    <x v="2"/>
    <x v="2"/>
  </r>
  <r>
    <s v="TX500308"/>
    <x v="14"/>
    <x v="1"/>
    <n v="14.2"/>
    <n v="28.4"/>
    <x v="12"/>
    <d v="2025-01-18T00:00:00"/>
    <s v="F"/>
    <x v="3"/>
    <x v="0"/>
    <x v="0"/>
    <x v="39"/>
    <n v="5"/>
    <x v="2"/>
    <x v="2"/>
  </r>
  <r>
    <s v="TX500309"/>
    <x v="8"/>
    <x v="11"/>
    <n v="22.7"/>
    <n v="204.29999999999998"/>
    <x v="13"/>
    <d v="2025-01-15T00:00:00"/>
    <s v="M"/>
    <x v="1"/>
    <x v="0"/>
    <x v="0"/>
    <x v="6"/>
    <n v="1"/>
    <x v="2"/>
    <x v="1"/>
  </r>
  <r>
    <s v="TX500310"/>
    <x v="0"/>
    <x v="20"/>
    <n v="19.8"/>
    <n v="297"/>
    <x v="13"/>
    <d v="2025-01-14T00:00:00"/>
    <s v="F"/>
    <x v="0"/>
    <x v="2"/>
    <x v="0"/>
    <x v="6"/>
    <n v="0"/>
    <x v="2"/>
    <x v="2"/>
  </r>
  <r>
    <s v="TX500311"/>
    <x v="0"/>
    <x v="2"/>
    <n v="31.7"/>
    <n v="95.1"/>
    <x v="13"/>
    <d v="2025-01-15T00:00:00"/>
    <s v="M"/>
    <x v="2"/>
    <x v="0"/>
    <x v="0"/>
    <x v="6"/>
    <n v="1"/>
    <x v="2"/>
    <x v="1"/>
  </r>
  <r>
    <s v="TX500312"/>
    <x v="8"/>
    <x v="12"/>
    <n v="30.4"/>
    <n v="121.6"/>
    <x v="13"/>
    <d v="2025-01-18T00:00:00"/>
    <s v="M"/>
    <x v="0"/>
    <x v="0"/>
    <x v="0"/>
    <x v="6"/>
    <n v="4"/>
    <x v="2"/>
    <x v="1"/>
  </r>
  <r>
    <s v="TX500313"/>
    <x v="0"/>
    <x v="12"/>
    <n v="25.6"/>
    <n v="102.4"/>
    <x v="13"/>
    <d v="2025-01-15T00:00:00"/>
    <s v="M"/>
    <x v="3"/>
    <x v="0"/>
    <x v="0"/>
    <x v="8"/>
    <n v="1"/>
    <x v="2"/>
    <x v="1"/>
  </r>
  <r>
    <s v="TX500314"/>
    <x v="5"/>
    <x v="1"/>
    <n v="34.9"/>
    <n v="69.8"/>
    <x v="13"/>
    <d v="2025-01-15T00:00:00"/>
    <s v="F"/>
    <x v="2"/>
    <x v="0"/>
    <x v="0"/>
    <x v="9"/>
    <n v="1"/>
    <x v="2"/>
    <x v="2"/>
  </r>
  <r>
    <s v="TX500315"/>
    <x v="7"/>
    <x v="13"/>
    <n v="42.7"/>
    <n v="256.20000000000005"/>
    <x v="13"/>
    <d v="2025-01-17T00:00:00"/>
    <s v="M"/>
    <x v="2"/>
    <x v="1"/>
    <x v="0"/>
    <x v="11"/>
    <n v="3"/>
    <x v="2"/>
    <x v="1"/>
  </r>
  <r>
    <s v="TX500316"/>
    <x v="8"/>
    <x v="0"/>
    <n v="23.9"/>
    <n v="23.9"/>
    <x v="13"/>
    <d v="2025-01-16T00:00:00"/>
    <s v="F"/>
    <x v="3"/>
    <x v="0"/>
    <x v="0"/>
    <x v="11"/>
    <n v="2"/>
    <x v="2"/>
    <x v="2"/>
  </r>
  <r>
    <s v="TX500317"/>
    <x v="6"/>
    <x v="0"/>
    <n v="124.3"/>
    <n v="124.3"/>
    <x v="13"/>
    <d v="2025-01-15T00:00:00"/>
    <s v=""/>
    <x v="2"/>
    <x v="1"/>
    <x v="0"/>
    <x v="21"/>
    <n v="1"/>
    <x v="2"/>
    <x v="0"/>
  </r>
  <r>
    <s v="TX500318"/>
    <x v="8"/>
    <x v="13"/>
    <n v="35.9"/>
    <n v="215.39999999999998"/>
    <x v="13"/>
    <d v="2025-01-15T00:00:00"/>
    <s v="F"/>
    <x v="0"/>
    <x v="1"/>
    <x v="0"/>
    <x v="1"/>
    <n v="1"/>
    <x v="2"/>
    <x v="2"/>
  </r>
  <r>
    <s v="TX500319"/>
    <x v="2"/>
    <x v="1"/>
    <n v="69.099999999999994"/>
    <n v="138.19999999999999"/>
    <x v="13"/>
    <d v="2025-01-17T00:00:00"/>
    <s v="F"/>
    <x v="0"/>
    <x v="2"/>
    <x v="0"/>
    <x v="22"/>
    <n v="3"/>
    <x v="2"/>
    <x v="2"/>
  </r>
  <r>
    <s v="TX500320"/>
    <x v="7"/>
    <x v="0"/>
    <n v="58.4"/>
    <n v="58.4"/>
    <x v="13"/>
    <d v="2025-01-18T00:00:00"/>
    <s v="M"/>
    <x v="0"/>
    <x v="0"/>
    <x v="0"/>
    <x v="22"/>
    <n v="4"/>
    <x v="2"/>
    <x v="1"/>
  </r>
  <r>
    <s v="TX500321"/>
    <x v="5"/>
    <x v="0"/>
    <n v="65.2"/>
    <n v="65.2"/>
    <x v="13"/>
    <d v="2025-01-16T00:00:00"/>
    <s v="O"/>
    <x v="4"/>
    <x v="4"/>
    <x v="0"/>
    <x v="3"/>
    <n v="2"/>
    <x v="2"/>
    <x v="3"/>
  </r>
  <r>
    <s v="TX500322"/>
    <x v="8"/>
    <x v="14"/>
    <n v="32.700000000000003"/>
    <n v="555.90000000000009"/>
    <x v="13"/>
    <d v="2025-01-21T00:00:00"/>
    <s v=""/>
    <x v="4"/>
    <x v="0"/>
    <x v="0"/>
    <x v="3"/>
    <n v="7"/>
    <x v="2"/>
    <x v="0"/>
  </r>
  <r>
    <s v="TX500323"/>
    <x v="10"/>
    <x v="3"/>
    <n v="24.4"/>
    <n v="170.79999999999998"/>
    <x v="13"/>
    <d v="2025-01-15T00:00:00"/>
    <s v="F"/>
    <x v="0"/>
    <x v="0"/>
    <x v="0"/>
    <x v="3"/>
    <n v="1"/>
    <x v="2"/>
    <x v="2"/>
  </r>
  <r>
    <s v="TX500324"/>
    <x v="14"/>
    <x v="1"/>
    <n v="50.4"/>
    <n v="100.8"/>
    <x v="13"/>
    <d v="2025-01-20T00:00:00"/>
    <s v="M"/>
    <x v="0"/>
    <x v="1"/>
    <x v="0"/>
    <x v="3"/>
    <n v="6"/>
    <x v="2"/>
    <x v="1"/>
  </r>
  <r>
    <s v="TX500325"/>
    <x v="1"/>
    <x v="1"/>
    <n v="100"/>
    <n v="200"/>
    <x v="13"/>
    <d v="2025-01-15T00:00:00"/>
    <s v="F"/>
    <x v="0"/>
    <x v="0"/>
    <x v="0"/>
    <x v="3"/>
    <n v="1"/>
    <x v="2"/>
    <x v="2"/>
  </r>
  <r>
    <s v="TX500326"/>
    <x v="10"/>
    <x v="2"/>
    <n v="43"/>
    <n v="129"/>
    <x v="14"/>
    <d v="2025-01-15T00:00:00"/>
    <s v="F"/>
    <x v="2"/>
    <x v="1"/>
    <x v="0"/>
    <x v="3"/>
    <n v="0"/>
    <x v="2"/>
    <x v="2"/>
  </r>
  <r>
    <s v="TX500327"/>
    <x v="1"/>
    <x v="9"/>
    <n v="64.400000000000006"/>
    <n v="322"/>
    <x v="14"/>
    <d v="2025-01-17T00:00:00"/>
    <s v="M"/>
    <x v="2"/>
    <x v="1"/>
    <x v="0"/>
    <x v="3"/>
    <n v="2"/>
    <x v="2"/>
    <x v="1"/>
  </r>
  <r>
    <s v="TX500328"/>
    <x v="18"/>
    <x v="1"/>
    <n v="57.4"/>
    <n v="114.8"/>
    <x v="14"/>
    <d v="2025-01-16T00:00:00"/>
    <s v="M"/>
    <x v="2"/>
    <x v="1"/>
    <x v="0"/>
    <x v="3"/>
    <n v="1"/>
    <x v="2"/>
    <x v="1"/>
  </r>
  <r>
    <s v="TX500329"/>
    <x v="2"/>
    <x v="2"/>
    <n v="55.1"/>
    <n v="165.3"/>
    <x v="14"/>
    <d v="2025-01-18T00:00:00"/>
    <s v="F"/>
    <x v="1"/>
    <x v="0"/>
    <x v="0"/>
    <x v="3"/>
    <n v="3"/>
    <x v="2"/>
    <x v="2"/>
  </r>
  <r>
    <s v="TX500330"/>
    <x v="7"/>
    <x v="12"/>
    <n v="45.4"/>
    <n v="181.6"/>
    <x v="14"/>
    <d v="2025-01-16T00:00:00"/>
    <s v="F"/>
    <x v="1"/>
    <x v="0"/>
    <x v="0"/>
    <x v="3"/>
    <n v="1"/>
    <x v="2"/>
    <x v="2"/>
  </r>
  <r>
    <s v="TX500331"/>
    <x v="3"/>
    <x v="2"/>
    <n v="93.3"/>
    <n v="279.89999999999998"/>
    <x v="14"/>
    <d v="2025-01-16T00:00:00"/>
    <s v="F"/>
    <x v="0"/>
    <x v="0"/>
    <x v="0"/>
    <x v="40"/>
    <n v="1"/>
    <x v="2"/>
    <x v="2"/>
  </r>
  <r>
    <s v="TX500332"/>
    <x v="2"/>
    <x v="10"/>
    <n v="158.19999999999999"/>
    <n v="3005.7999999999997"/>
    <x v="14"/>
    <d v="2025-01-16T00:00:00"/>
    <s v="F"/>
    <x v="1"/>
    <x v="2"/>
    <x v="0"/>
    <x v="16"/>
    <n v="1"/>
    <x v="2"/>
    <x v="2"/>
  </r>
  <r>
    <s v="TX500333"/>
    <x v="2"/>
    <x v="1"/>
    <n v="74.900000000000006"/>
    <n v="149.80000000000001"/>
    <x v="14"/>
    <d v="2025-01-17T00:00:00"/>
    <s v="M"/>
    <x v="3"/>
    <x v="0"/>
    <x v="0"/>
    <x v="6"/>
    <n v="2"/>
    <x v="2"/>
    <x v="1"/>
  </r>
  <r>
    <s v="TX500334"/>
    <x v="8"/>
    <x v="3"/>
    <n v="26"/>
    <n v="182"/>
    <x v="14"/>
    <d v="2025-01-18T00:00:00"/>
    <s v="F"/>
    <x v="1"/>
    <x v="0"/>
    <x v="0"/>
    <x v="8"/>
    <n v="3"/>
    <x v="2"/>
    <x v="2"/>
  </r>
  <r>
    <s v="TX500335"/>
    <x v="9"/>
    <x v="13"/>
    <n v="37.5"/>
    <n v="225"/>
    <x v="14"/>
    <d v="2025-01-16T00:00:00"/>
    <s v="F"/>
    <x v="0"/>
    <x v="1"/>
    <x v="0"/>
    <x v="8"/>
    <n v="1"/>
    <x v="2"/>
    <x v="2"/>
  </r>
  <r>
    <s v="TX500336"/>
    <x v="6"/>
    <x v="1"/>
    <n v="75.8"/>
    <n v="151.6"/>
    <x v="14"/>
    <d v="2025-01-21T00:00:00"/>
    <s v="M"/>
    <x v="0"/>
    <x v="0"/>
    <x v="0"/>
    <x v="8"/>
    <n v="6"/>
    <x v="2"/>
    <x v="1"/>
  </r>
  <r>
    <s v="TX500337"/>
    <x v="7"/>
    <x v="0"/>
    <n v="48.5"/>
    <n v="48.5"/>
    <x v="14"/>
    <d v="2025-01-27T00:00:00"/>
    <s v=""/>
    <x v="4"/>
    <x v="2"/>
    <x v="0"/>
    <x v="8"/>
    <n v="12"/>
    <x v="2"/>
    <x v="0"/>
  </r>
  <r>
    <s v="TX500338"/>
    <x v="6"/>
    <x v="2"/>
    <n v="98.9"/>
    <n v="296.70000000000005"/>
    <x v="14"/>
    <d v="2025-01-17T00:00:00"/>
    <s v="F"/>
    <x v="4"/>
    <x v="1"/>
    <x v="0"/>
    <x v="8"/>
    <n v="2"/>
    <x v="2"/>
    <x v="2"/>
  </r>
  <r>
    <s v="TX500339"/>
    <x v="1"/>
    <x v="4"/>
    <n v="50.9"/>
    <n v="610.79999999999995"/>
    <x v="14"/>
    <d v="2025-01-15T00:00:00"/>
    <s v="M"/>
    <x v="4"/>
    <x v="0"/>
    <x v="0"/>
    <x v="8"/>
    <n v="0"/>
    <x v="2"/>
    <x v="1"/>
  </r>
  <r>
    <s v="TX500340"/>
    <x v="12"/>
    <x v="13"/>
    <n v="84.7"/>
    <n v="508.20000000000005"/>
    <x v="14"/>
    <d v="2025-01-15T00:00:00"/>
    <s v="F"/>
    <x v="2"/>
    <x v="0"/>
    <x v="0"/>
    <x v="8"/>
    <n v="0"/>
    <x v="2"/>
    <x v="2"/>
  </r>
  <r>
    <s v="TX500341"/>
    <x v="8"/>
    <x v="0"/>
    <n v="20.7"/>
    <n v="20.7"/>
    <x v="14"/>
    <d v="2025-01-17T00:00:00"/>
    <s v="F"/>
    <x v="3"/>
    <x v="2"/>
    <x v="0"/>
    <x v="8"/>
    <n v="2"/>
    <x v="2"/>
    <x v="2"/>
  </r>
  <r>
    <s v="TX500342"/>
    <x v="12"/>
    <x v="11"/>
    <n v="57.8"/>
    <n v="520.19999999999993"/>
    <x v="14"/>
    <d v="2025-01-26T00:00:00"/>
    <s v="M"/>
    <x v="0"/>
    <x v="4"/>
    <x v="0"/>
    <x v="17"/>
    <n v="11"/>
    <x v="2"/>
    <x v="1"/>
  </r>
  <r>
    <s v="TX500343"/>
    <x v="2"/>
    <x v="1"/>
    <n v="106.9"/>
    <n v="213.8"/>
    <x v="14"/>
    <d v="2025-01-17T00:00:00"/>
    <s v="F"/>
    <x v="0"/>
    <x v="2"/>
    <x v="0"/>
    <x v="41"/>
    <n v="2"/>
    <x v="2"/>
    <x v="2"/>
  </r>
  <r>
    <s v="TX500344"/>
    <x v="3"/>
    <x v="9"/>
    <n v="45.2"/>
    <n v="226"/>
    <x v="14"/>
    <d v="2025-01-19T00:00:00"/>
    <s v="F"/>
    <x v="1"/>
    <x v="0"/>
    <x v="0"/>
    <x v="21"/>
    <n v="4"/>
    <x v="2"/>
    <x v="2"/>
  </r>
  <r>
    <s v="TX500345"/>
    <x v="8"/>
    <x v="15"/>
    <n v="34.6"/>
    <n v="449.8"/>
    <x v="14"/>
    <d v="2025-01-15T00:00:00"/>
    <s v="F"/>
    <x v="1"/>
    <x v="1"/>
    <x v="0"/>
    <x v="21"/>
    <n v="0"/>
    <x v="2"/>
    <x v="2"/>
  </r>
  <r>
    <s v="TX500346"/>
    <x v="15"/>
    <x v="0"/>
    <n v="43.8"/>
    <n v="43.8"/>
    <x v="14"/>
    <d v="2025-01-17T00:00:00"/>
    <s v=""/>
    <x v="0"/>
    <x v="2"/>
    <x v="0"/>
    <x v="21"/>
    <n v="2"/>
    <x v="2"/>
    <x v="0"/>
  </r>
  <r>
    <s v="TX500347"/>
    <x v="15"/>
    <x v="0"/>
    <n v="20.399999999999999"/>
    <n v="20.399999999999999"/>
    <x v="14"/>
    <d v="2025-01-17T00:00:00"/>
    <s v="M"/>
    <x v="4"/>
    <x v="1"/>
    <x v="0"/>
    <x v="21"/>
    <n v="2"/>
    <x v="2"/>
    <x v="1"/>
  </r>
  <r>
    <s v="TX500348"/>
    <x v="1"/>
    <x v="0"/>
    <n v="36.700000000000003"/>
    <n v="36.700000000000003"/>
    <x v="14"/>
    <d v="2025-01-16T00:00:00"/>
    <s v="M"/>
    <x v="0"/>
    <x v="1"/>
    <x v="0"/>
    <x v="1"/>
    <n v="1"/>
    <x v="2"/>
    <x v="1"/>
  </r>
  <r>
    <s v="TX500349"/>
    <x v="8"/>
    <x v="2"/>
    <n v="27.2"/>
    <n v="81.599999999999994"/>
    <x v="14"/>
    <d v="2025-01-19T00:00:00"/>
    <s v="M"/>
    <x v="0"/>
    <x v="2"/>
    <x v="0"/>
    <x v="1"/>
    <n v="4"/>
    <x v="2"/>
    <x v="1"/>
  </r>
  <r>
    <s v="TX500350"/>
    <x v="6"/>
    <x v="0"/>
    <n v="58.2"/>
    <n v="58.2"/>
    <x v="14"/>
    <d v="2025-01-16T00:00:00"/>
    <s v="F"/>
    <x v="0"/>
    <x v="2"/>
    <x v="0"/>
    <x v="42"/>
    <n v="1"/>
    <x v="2"/>
    <x v="2"/>
  </r>
  <r>
    <s v="TX500351"/>
    <x v="8"/>
    <x v="2"/>
    <n v="25.6"/>
    <n v="76.800000000000011"/>
    <x v="14"/>
    <d v="2025-01-16T00:00:00"/>
    <s v="M"/>
    <x v="4"/>
    <x v="4"/>
    <x v="0"/>
    <x v="2"/>
    <n v="1"/>
    <x v="2"/>
    <x v="1"/>
  </r>
  <r>
    <s v="TX500352"/>
    <x v="10"/>
    <x v="0"/>
    <n v="21.2"/>
    <n v="21.2"/>
    <x v="14"/>
    <d v="2025-01-15T00:00:00"/>
    <s v="F"/>
    <x v="1"/>
    <x v="2"/>
    <x v="0"/>
    <x v="3"/>
    <n v="0"/>
    <x v="2"/>
    <x v="2"/>
  </r>
  <r>
    <s v="TX500353"/>
    <x v="6"/>
    <x v="1"/>
    <n v="48.2"/>
    <n v="96.4"/>
    <x v="14"/>
    <d v="2025-01-23T00:00:00"/>
    <s v="F"/>
    <x v="0"/>
    <x v="2"/>
    <x v="0"/>
    <x v="3"/>
    <n v="8"/>
    <x v="2"/>
    <x v="2"/>
  </r>
  <r>
    <s v="TX500354"/>
    <x v="1"/>
    <x v="12"/>
    <n v="83.4"/>
    <n v="333.6"/>
    <x v="15"/>
    <d v="2025-01-17T00:00:00"/>
    <s v="M"/>
    <x v="0"/>
    <x v="0"/>
    <x v="0"/>
    <x v="3"/>
    <n v="1"/>
    <x v="2"/>
    <x v="1"/>
  </r>
  <r>
    <s v="TX500355"/>
    <x v="9"/>
    <x v="2"/>
    <n v="45.3"/>
    <n v="135.89999999999998"/>
    <x v="15"/>
    <d v="2025-01-22T00:00:00"/>
    <s v="M"/>
    <x v="2"/>
    <x v="1"/>
    <x v="0"/>
    <x v="3"/>
    <n v="6"/>
    <x v="2"/>
    <x v="1"/>
  </r>
  <r>
    <s v="TX500356"/>
    <x v="17"/>
    <x v="0"/>
    <n v="42"/>
    <n v="42"/>
    <x v="15"/>
    <d v="2025-01-17T00:00:00"/>
    <s v=""/>
    <x v="0"/>
    <x v="0"/>
    <x v="0"/>
    <x v="3"/>
    <n v="1"/>
    <x v="2"/>
    <x v="0"/>
  </r>
  <r>
    <s v="TX500357"/>
    <x v="0"/>
    <x v="11"/>
    <n v="21.8"/>
    <n v="196.20000000000002"/>
    <x v="15"/>
    <d v="2025-01-18T00:00:00"/>
    <s v="F"/>
    <x v="1"/>
    <x v="0"/>
    <x v="0"/>
    <x v="3"/>
    <n v="2"/>
    <x v="2"/>
    <x v="2"/>
  </r>
  <r>
    <s v="TX500358"/>
    <x v="8"/>
    <x v="16"/>
    <n v="21.4"/>
    <n v="385.2"/>
    <x v="15"/>
    <d v="2025-01-19T00:00:00"/>
    <s v="F"/>
    <x v="1"/>
    <x v="2"/>
    <x v="0"/>
    <x v="3"/>
    <n v="3"/>
    <x v="2"/>
    <x v="2"/>
  </r>
  <r>
    <s v="TX500359"/>
    <x v="10"/>
    <x v="2"/>
    <n v="45"/>
    <n v="135"/>
    <x v="15"/>
    <d v="2025-01-16T00:00:00"/>
    <s v="F"/>
    <x v="1"/>
    <x v="2"/>
    <x v="0"/>
    <x v="3"/>
    <n v="0"/>
    <x v="2"/>
    <x v="2"/>
  </r>
  <r>
    <s v="TX500360"/>
    <x v="14"/>
    <x v="0"/>
    <n v="39.6"/>
    <n v="39.6"/>
    <x v="15"/>
    <d v="2025-01-17T00:00:00"/>
    <s v="M"/>
    <x v="0"/>
    <x v="2"/>
    <x v="0"/>
    <x v="3"/>
    <n v="1"/>
    <x v="2"/>
    <x v="1"/>
  </r>
  <r>
    <s v="TX500361"/>
    <x v="12"/>
    <x v="2"/>
    <n v="79.8"/>
    <n v="239.39999999999998"/>
    <x v="15"/>
    <d v="2025-01-22T00:00:00"/>
    <s v="F"/>
    <x v="1"/>
    <x v="4"/>
    <x v="0"/>
    <x v="3"/>
    <n v="6"/>
    <x v="2"/>
    <x v="2"/>
  </r>
  <r>
    <s v="TX500362"/>
    <x v="1"/>
    <x v="12"/>
    <n v="63.6"/>
    <n v="254.4"/>
    <x v="15"/>
    <d v="2025-01-17T00:00:00"/>
    <s v="O"/>
    <x v="0"/>
    <x v="2"/>
    <x v="0"/>
    <x v="24"/>
    <n v="1"/>
    <x v="2"/>
    <x v="3"/>
  </r>
  <r>
    <s v="TX500363"/>
    <x v="7"/>
    <x v="7"/>
    <n v="92.7"/>
    <n v="927"/>
    <x v="15"/>
    <d v="2025-01-20T00:00:00"/>
    <s v="M"/>
    <x v="1"/>
    <x v="2"/>
    <x v="0"/>
    <x v="6"/>
    <n v="4"/>
    <x v="2"/>
    <x v="1"/>
  </r>
  <r>
    <s v="TX500364"/>
    <x v="1"/>
    <x v="12"/>
    <n v="48.4"/>
    <n v="193.6"/>
    <x v="15"/>
    <d v="2025-01-18T00:00:00"/>
    <s v="F"/>
    <x v="1"/>
    <x v="2"/>
    <x v="0"/>
    <x v="6"/>
    <n v="2"/>
    <x v="2"/>
    <x v="2"/>
  </r>
  <r>
    <s v="TX500365"/>
    <x v="9"/>
    <x v="8"/>
    <n v="36"/>
    <n v="288"/>
    <x v="15"/>
    <d v="2025-01-19T00:00:00"/>
    <s v="M"/>
    <x v="2"/>
    <x v="2"/>
    <x v="0"/>
    <x v="8"/>
    <n v="3"/>
    <x v="2"/>
    <x v="1"/>
  </r>
  <r>
    <s v="TX500366"/>
    <x v="8"/>
    <x v="4"/>
    <n v="27"/>
    <n v="324"/>
    <x v="15"/>
    <d v="2025-01-18T00:00:00"/>
    <s v="F"/>
    <x v="2"/>
    <x v="1"/>
    <x v="0"/>
    <x v="8"/>
    <n v="2"/>
    <x v="2"/>
    <x v="2"/>
  </r>
  <r>
    <s v="TX500367"/>
    <x v="2"/>
    <x v="8"/>
    <n v="53.9"/>
    <n v="431.2"/>
    <x v="15"/>
    <d v="2025-01-17T00:00:00"/>
    <s v=""/>
    <x v="0"/>
    <x v="0"/>
    <x v="0"/>
    <x v="8"/>
    <n v="1"/>
    <x v="2"/>
    <x v="0"/>
  </r>
  <r>
    <s v="TX500368"/>
    <x v="3"/>
    <x v="11"/>
    <n v="48.4"/>
    <n v="435.59999999999997"/>
    <x v="15"/>
    <d v="2025-01-17T00:00:00"/>
    <s v="F"/>
    <x v="1"/>
    <x v="0"/>
    <x v="0"/>
    <x v="9"/>
    <n v="1"/>
    <x v="2"/>
    <x v="2"/>
  </r>
  <r>
    <s v="TX500369"/>
    <x v="17"/>
    <x v="1"/>
    <n v="49.9"/>
    <n v="99.8"/>
    <x v="15"/>
    <d v="2025-01-21T00:00:00"/>
    <s v="M"/>
    <x v="4"/>
    <x v="4"/>
    <x v="0"/>
    <x v="10"/>
    <n v="5"/>
    <x v="2"/>
    <x v="1"/>
  </r>
  <r>
    <s v="TX500370"/>
    <x v="1"/>
    <x v="2"/>
    <n v="51.7"/>
    <n v="155.10000000000002"/>
    <x v="15"/>
    <d v="2025-01-17T00:00:00"/>
    <s v="F"/>
    <x v="0"/>
    <x v="2"/>
    <x v="0"/>
    <x v="11"/>
    <n v="1"/>
    <x v="2"/>
    <x v="2"/>
  </r>
  <r>
    <s v="TX500371"/>
    <x v="8"/>
    <x v="2"/>
    <n v="41.8"/>
    <n v="125.39999999999999"/>
    <x v="15"/>
    <d v="2025-01-18T00:00:00"/>
    <s v="F"/>
    <x v="2"/>
    <x v="0"/>
    <x v="0"/>
    <x v="18"/>
    <n v="2"/>
    <x v="2"/>
    <x v="2"/>
  </r>
  <r>
    <s v="TX500372"/>
    <x v="4"/>
    <x v="12"/>
    <n v="36.200000000000003"/>
    <n v="144.80000000000001"/>
    <x v="16"/>
    <d v="2025-01-18T00:00:00"/>
    <s v="M"/>
    <x v="2"/>
    <x v="2"/>
    <x v="0"/>
    <x v="21"/>
    <n v="1"/>
    <x v="2"/>
    <x v="1"/>
  </r>
  <r>
    <s v="TX500373"/>
    <x v="2"/>
    <x v="0"/>
    <n v="150.9"/>
    <n v="150.9"/>
    <x v="16"/>
    <d v="2025-01-27T00:00:00"/>
    <s v="M"/>
    <x v="0"/>
    <x v="0"/>
    <x v="0"/>
    <x v="1"/>
    <n v="10"/>
    <x v="2"/>
    <x v="1"/>
  </r>
  <r>
    <s v="TX500374"/>
    <x v="18"/>
    <x v="12"/>
    <n v="77.599999999999994"/>
    <n v="310.39999999999998"/>
    <x v="16"/>
    <d v="2025-01-18T00:00:00"/>
    <s v=""/>
    <x v="2"/>
    <x v="0"/>
    <x v="0"/>
    <x v="3"/>
    <n v="1"/>
    <x v="2"/>
    <x v="0"/>
  </r>
  <r>
    <s v="TX500375"/>
    <x v="13"/>
    <x v="9"/>
    <n v="65.5"/>
    <n v="327.5"/>
    <x v="16"/>
    <d v="2025-01-17T00:00:00"/>
    <s v="M"/>
    <x v="1"/>
    <x v="0"/>
    <x v="0"/>
    <x v="3"/>
    <n v="0"/>
    <x v="2"/>
    <x v="1"/>
  </r>
  <r>
    <s v="TX500376"/>
    <x v="6"/>
    <x v="2"/>
    <n v="90.1"/>
    <n v="270.29999999999995"/>
    <x v="16"/>
    <d v="2025-01-19T00:00:00"/>
    <s v="F"/>
    <x v="0"/>
    <x v="0"/>
    <x v="0"/>
    <x v="3"/>
    <n v="2"/>
    <x v="2"/>
    <x v="2"/>
  </r>
  <r>
    <s v="TX500377"/>
    <x v="1"/>
    <x v="1"/>
    <n v="108.3"/>
    <n v="216.6"/>
    <x v="16"/>
    <d v="2025-01-20T00:00:00"/>
    <s v="O"/>
    <x v="4"/>
    <x v="0"/>
    <x v="0"/>
    <x v="3"/>
    <n v="3"/>
    <x v="2"/>
    <x v="3"/>
  </r>
  <r>
    <s v="TX500378"/>
    <x v="5"/>
    <x v="2"/>
    <n v="59.9"/>
    <n v="179.7"/>
    <x v="16"/>
    <d v="2025-01-21T00:00:00"/>
    <s v="F"/>
    <x v="0"/>
    <x v="0"/>
    <x v="0"/>
    <x v="3"/>
    <n v="4"/>
    <x v="2"/>
    <x v="2"/>
  </r>
  <r>
    <s v="TX500379"/>
    <x v="2"/>
    <x v="14"/>
    <n v="139"/>
    <n v="2363"/>
    <x v="16"/>
    <d v="2025-01-19T00:00:00"/>
    <s v="F"/>
    <x v="1"/>
    <x v="4"/>
    <x v="0"/>
    <x v="3"/>
    <n v="2"/>
    <x v="2"/>
    <x v="2"/>
  </r>
  <r>
    <s v="TX500380"/>
    <x v="6"/>
    <x v="2"/>
    <n v="87.3"/>
    <n v="261.89999999999998"/>
    <x v="16"/>
    <d v="2025-01-18T00:00:00"/>
    <s v="F"/>
    <x v="0"/>
    <x v="0"/>
    <x v="0"/>
    <x v="3"/>
    <n v="1"/>
    <x v="2"/>
    <x v="2"/>
  </r>
  <r>
    <s v="TX500381"/>
    <x v="11"/>
    <x v="12"/>
    <n v="42.3"/>
    <n v="169.2"/>
    <x v="16"/>
    <d v="2025-01-17T00:00:00"/>
    <s v="M"/>
    <x v="0"/>
    <x v="0"/>
    <x v="0"/>
    <x v="3"/>
    <n v="0"/>
    <x v="2"/>
    <x v="1"/>
  </r>
  <r>
    <s v="TX500382"/>
    <x v="14"/>
    <x v="8"/>
    <n v="103.6"/>
    <n v="828.8"/>
    <x v="16"/>
    <d v="2025-01-18T00:00:00"/>
    <s v="O"/>
    <x v="0"/>
    <x v="1"/>
    <x v="0"/>
    <x v="3"/>
    <n v="1"/>
    <x v="2"/>
    <x v="3"/>
  </r>
  <r>
    <s v="TX500383"/>
    <x v="6"/>
    <x v="1"/>
    <n v="90.9"/>
    <n v="181.8"/>
    <x v="16"/>
    <d v="2025-01-18T00:00:00"/>
    <s v="M"/>
    <x v="1"/>
    <x v="0"/>
    <x v="0"/>
    <x v="6"/>
    <n v="1"/>
    <x v="2"/>
    <x v="1"/>
  </r>
  <r>
    <s v="TX500384"/>
    <x v="9"/>
    <x v="27"/>
    <n v="100.9"/>
    <n v="1614.4"/>
    <x v="16"/>
    <d v="2025-01-18T00:00:00"/>
    <s v="F"/>
    <x v="1"/>
    <x v="0"/>
    <x v="0"/>
    <x v="6"/>
    <n v="1"/>
    <x v="2"/>
    <x v="2"/>
  </r>
  <r>
    <s v="TX500385"/>
    <x v="4"/>
    <x v="9"/>
    <n v="36"/>
    <n v="180"/>
    <x v="16"/>
    <d v="2025-01-19T00:00:00"/>
    <s v="F"/>
    <x v="1"/>
    <x v="0"/>
    <x v="0"/>
    <x v="7"/>
    <n v="2"/>
    <x v="2"/>
    <x v="2"/>
  </r>
  <r>
    <s v="TX500386"/>
    <x v="6"/>
    <x v="13"/>
    <n v="83.3"/>
    <n v="499.79999999999995"/>
    <x v="16"/>
    <d v="2025-01-20T00:00:00"/>
    <s v=""/>
    <x v="2"/>
    <x v="0"/>
    <x v="0"/>
    <x v="7"/>
    <n v="3"/>
    <x v="2"/>
    <x v="0"/>
  </r>
  <r>
    <s v="TX500387"/>
    <x v="2"/>
    <x v="14"/>
    <n v="60.3"/>
    <n v="1025.0999999999999"/>
    <x v="16"/>
    <d v="2025-01-18T00:00:00"/>
    <s v="M"/>
    <x v="2"/>
    <x v="1"/>
    <x v="0"/>
    <x v="7"/>
    <n v="1"/>
    <x v="2"/>
    <x v="1"/>
  </r>
  <r>
    <s v="TX500388"/>
    <x v="2"/>
    <x v="13"/>
    <n v="120.3"/>
    <n v="721.8"/>
    <x v="16"/>
    <d v="2025-01-18T00:00:00"/>
    <s v="M"/>
    <x v="2"/>
    <x v="0"/>
    <x v="0"/>
    <x v="8"/>
    <n v="1"/>
    <x v="2"/>
    <x v="1"/>
  </r>
  <r>
    <s v="TX500389"/>
    <x v="4"/>
    <x v="7"/>
    <n v="34"/>
    <n v="340"/>
    <x v="16"/>
    <d v="2025-01-21T00:00:00"/>
    <s v="F"/>
    <x v="2"/>
    <x v="0"/>
    <x v="0"/>
    <x v="8"/>
    <n v="4"/>
    <x v="2"/>
    <x v="2"/>
  </r>
  <r>
    <s v="TX500390"/>
    <x v="10"/>
    <x v="9"/>
    <n v="42.6"/>
    <n v="213"/>
    <x v="16"/>
    <d v="2025-01-20T00:00:00"/>
    <s v="M"/>
    <x v="1"/>
    <x v="0"/>
    <x v="0"/>
    <x v="8"/>
    <n v="3"/>
    <x v="2"/>
    <x v="1"/>
  </r>
  <r>
    <s v="TX500391"/>
    <x v="5"/>
    <x v="28"/>
    <n v="47.4"/>
    <n v="948"/>
    <x v="16"/>
    <d v="2025-01-17T00:00:00"/>
    <s v="F"/>
    <x v="2"/>
    <x v="1"/>
    <x v="0"/>
    <x v="17"/>
    <n v="0"/>
    <x v="2"/>
    <x v="2"/>
  </r>
  <r>
    <s v="TX500392"/>
    <x v="2"/>
    <x v="0"/>
    <n v="74"/>
    <n v="74"/>
    <x v="17"/>
    <d v="2025-01-19T00:00:00"/>
    <s v="M"/>
    <x v="1"/>
    <x v="0"/>
    <x v="0"/>
    <x v="11"/>
    <n v="1"/>
    <x v="2"/>
    <x v="1"/>
  </r>
  <r>
    <s v="TX500393"/>
    <x v="2"/>
    <x v="9"/>
    <n v="60.4"/>
    <n v="302"/>
    <x v="17"/>
    <d v="2025-01-21T00:00:00"/>
    <s v="F"/>
    <x v="1"/>
    <x v="4"/>
    <x v="0"/>
    <x v="18"/>
    <n v="3"/>
    <x v="2"/>
    <x v="2"/>
  </r>
  <r>
    <s v="TX500394"/>
    <x v="12"/>
    <x v="1"/>
    <n v="69.3"/>
    <n v="138.6"/>
    <x v="17"/>
    <d v="2025-01-21T00:00:00"/>
    <s v="M"/>
    <x v="1"/>
    <x v="1"/>
    <x v="0"/>
    <x v="13"/>
    <n v="3"/>
    <x v="2"/>
    <x v="1"/>
  </r>
  <r>
    <s v="TX500395"/>
    <x v="5"/>
    <x v="9"/>
    <n v="81"/>
    <n v="405"/>
    <x v="17"/>
    <d v="2025-01-24T00:00:00"/>
    <s v="M"/>
    <x v="3"/>
    <x v="0"/>
    <x v="0"/>
    <x v="21"/>
    <n v="6"/>
    <x v="2"/>
    <x v="1"/>
  </r>
  <r>
    <s v="TX500396"/>
    <x v="15"/>
    <x v="2"/>
    <n v="41.5"/>
    <n v="124.5"/>
    <x v="17"/>
    <d v="2025-01-20T00:00:00"/>
    <s v="O"/>
    <x v="1"/>
    <x v="0"/>
    <x v="0"/>
    <x v="21"/>
    <n v="2"/>
    <x v="2"/>
    <x v="3"/>
  </r>
  <r>
    <s v="TX500397"/>
    <x v="18"/>
    <x v="1"/>
    <n v="69.7"/>
    <n v="139.4"/>
    <x v="17"/>
    <d v="2025-01-23T00:00:00"/>
    <s v="M"/>
    <x v="1"/>
    <x v="0"/>
    <x v="0"/>
    <x v="21"/>
    <n v="5"/>
    <x v="2"/>
    <x v="1"/>
  </r>
  <r>
    <s v="TX500398"/>
    <x v="2"/>
    <x v="9"/>
    <n v="83.6"/>
    <n v="418"/>
    <x v="17"/>
    <d v="2025-01-18T00:00:00"/>
    <s v="F"/>
    <x v="4"/>
    <x v="0"/>
    <x v="0"/>
    <x v="1"/>
    <n v="0"/>
    <x v="2"/>
    <x v="2"/>
  </r>
  <r>
    <s v="TX500399"/>
    <x v="8"/>
    <x v="3"/>
    <n v="21.5"/>
    <n v="150.5"/>
    <x v="17"/>
    <d v="2025-01-20T00:00:00"/>
    <s v="M"/>
    <x v="1"/>
    <x v="4"/>
    <x v="0"/>
    <x v="34"/>
    <n v="2"/>
    <x v="2"/>
    <x v="1"/>
  </r>
  <r>
    <s v="TX500400"/>
    <x v="8"/>
    <x v="8"/>
    <n v="28.6"/>
    <n v="228.8"/>
    <x v="17"/>
    <d v="2025-01-19T00:00:00"/>
    <s v="M"/>
    <x v="0"/>
    <x v="0"/>
    <x v="0"/>
    <x v="3"/>
    <n v="1"/>
    <x v="2"/>
    <x v="1"/>
  </r>
  <r>
    <s v="TX500401"/>
    <x v="8"/>
    <x v="13"/>
    <n v="18.8"/>
    <n v="112.80000000000001"/>
    <x v="17"/>
    <d v="2025-01-21T00:00:00"/>
    <s v="M"/>
    <x v="3"/>
    <x v="2"/>
    <x v="0"/>
    <x v="3"/>
    <n v="3"/>
    <x v="2"/>
    <x v="1"/>
  </r>
  <r>
    <s v="TX500402"/>
    <x v="10"/>
    <x v="12"/>
    <n v="35.1"/>
    <n v="140.4"/>
    <x v="17"/>
    <d v="2025-01-18T00:00:00"/>
    <s v="F"/>
    <x v="1"/>
    <x v="1"/>
    <x v="0"/>
    <x v="3"/>
    <n v="0"/>
    <x v="2"/>
    <x v="2"/>
  </r>
  <r>
    <s v="TX500403"/>
    <x v="0"/>
    <x v="1"/>
    <n v="12.7"/>
    <n v="25.4"/>
    <x v="17"/>
    <d v="2025-01-20T00:00:00"/>
    <s v="F"/>
    <x v="1"/>
    <x v="2"/>
    <x v="0"/>
    <x v="3"/>
    <n v="2"/>
    <x v="2"/>
    <x v="2"/>
  </r>
  <r>
    <s v="TX500404"/>
    <x v="8"/>
    <x v="9"/>
    <n v="27.4"/>
    <n v="137"/>
    <x v="17"/>
    <d v="2025-01-20T00:00:00"/>
    <s v="O"/>
    <x v="0"/>
    <x v="0"/>
    <x v="0"/>
    <x v="3"/>
    <n v="2"/>
    <x v="2"/>
    <x v="3"/>
  </r>
  <r>
    <s v="TX500405"/>
    <x v="10"/>
    <x v="1"/>
    <n v="61.3"/>
    <n v="122.6"/>
    <x v="17"/>
    <d v="2025-01-19T00:00:00"/>
    <s v="F"/>
    <x v="1"/>
    <x v="0"/>
    <x v="0"/>
    <x v="6"/>
    <n v="1"/>
    <x v="2"/>
    <x v="2"/>
  </r>
  <r>
    <s v="TX500406"/>
    <x v="8"/>
    <x v="1"/>
    <n v="64.7"/>
    <n v="129.4"/>
    <x v="17"/>
    <d v="2025-01-20T00:00:00"/>
    <s v="F"/>
    <x v="3"/>
    <x v="2"/>
    <x v="0"/>
    <x v="6"/>
    <n v="2"/>
    <x v="2"/>
    <x v="2"/>
  </r>
  <r>
    <s v="TX500407"/>
    <x v="7"/>
    <x v="12"/>
    <n v="91.4"/>
    <n v="365.6"/>
    <x v="17"/>
    <d v="2025-01-20T00:00:00"/>
    <s v="F"/>
    <x v="0"/>
    <x v="0"/>
    <x v="0"/>
    <x v="8"/>
    <n v="2"/>
    <x v="2"/>
    <x v="2"/>
  </r>
  <r>
    <s v="TX500408"/>
    <x v="0"/>
    <x v="1"/>
    <n v="33.1"/>
    <n v="66.2"/>
    <x v="18"/>
    <d v="2025-01-20T00:00:00"/>
    <s v="M"/>
    <x v="0"/>
    <x v="2"/>
    <x v="0"/>
    <x v="8"/>
    <n v="1"/>
    <x v="3"/>
    <x v="1"/>
  </r>
  <r>
    <s v="TX500409"/>
    <x v="3"/>
    <x v="1"/>
    <n v="105.6"/>
    <n v="211.2"/>
    <x v="18"/>
    <d v="2025-01-20T00:00:00"/>
    <s v="M"/>
    <x v="2"/>
    <x v="1"/>
    <x v="0"/>
    <x v="8"/>
    <n v="1"/>
    <x v="3"/>
    <x v="1"/>
  </r>
  <r>
    <s v="TX500410"/>
    <x v="10"/>
    <x v="2"/>
    <n v="46.4"/>
    <n v="139.19999999999999"/>
    <x v="18"/>
    <d v="2025-01-20T00:00:00"/>
    <s v="M"/>
    <x v="2"/>
    <x v="0"/>
    <x v="0"/>
    <x v="9"/>
    <n v="1"/>
    <x v="3"/>
    <x v="1"/>
  </r>
  <r>
    <s v="TX500411"/>
    <x v="9"/>
    <x v="21"/>
    <n v="35.299999999999997"/>
    <n v="494.19999999999993"/>
    <x v="18"/>
    <d v="2025-01-22T00:00:00"/>
    <s v="F"/>
    <x v="4"/>
    <x v="1"/>
    <x v="0"/>
    <x v="11"/>
    <n v="3"/>
    <x v="3"/>
    <x v="2"/>
  </r>
  <r>
    <s v="TX500412"/>
    <x v="0"/>
    <x v="1"/>
    <n v="16.100000000000001"/>
    <n v="32.200000000000003"/>
    <x v="18"/>
    <d v="2025-01-21T00:00:00"/>
    <s v="M"/>
    <x v="3"/>
    <x v="2"/>
    <x v="0"/>
    <x v="32"/>
    <n v="2"/>
    <x v="3"/>
    <x v="1"/>
  </r>
  <r>
    <s v="TX500413"/>
    <x v="4"/>
    <x v="1"/>
    <n v="27.9"/>
    <n v="55.8"/>
    <x v="18"/>
    <d v="2025-01-22T00:00:00"/>
    <s v="M"/>
    <x v="0"/>
    <x v="0"/>
    <x v="0"/>
    <x v="13"/>
    <n v="3"/>
    <x v="3"/>
    <x v="1"/>
  </r>
  <r>
    <s v="TX500414"/>
    <x v="8"/>
    <x v="0"/>
    <n v="47.1"/>
    <n v="47.1"/>
    <x v="18"/>
    <d v="2025-01-27T00:00:00"/>
    <s v="F"/>
    <x v="1"/>
    <x v="0"/>
    <x v="0"/>
    <x v="2"/>
    <n v="8"/>
    <x v="3"/>
    <x v="2"/>
  </r>
  <r>
    <s v="TX500415"/>
    <x v="6"/>
    <x v="1"/>
    <n v="85"/>
    <n v="170"/>
    <x v="18"/>
    <d v="2025-01-22T00:00:00"/>
    <s v=""/>
    <x v="2"/>
    <x v="2"/>
    <x v="0"/>
    <x v="22"/>
    <n v="3"/>
    <x v="3"/>
    <x v="0"/>
  </r>
  <r>
    <s v="TX500416"/>
    <x v="18"/>
    <x v="1"/>
    <n v="89"/>
    <n v="178"/>
    <x v="18"/>
    <d v="2025-01-21T00:00:00"/>
    <s v="F"/>
    <x v="0"/>
    <x v="0"/>
    <x v="0"/>
    <x v="3"/>
    <n v="2"/>
    <x v="3"/>
    <x v="2"/>
  </r>
  <r>
    <s v="TX500417"/>
    <x v="16"/>
    <x v="2"/>
    <n v="36.6"/>
    <n v="109.80000000000001"/>
    <x v="18"/>
    <d v="2025-01-20T00:00:00"/>
    <s v="O"/>
    <x v="3"/>
    <x v="2"/>
    <x v="0"/>
    <x v="3"/>
    <n v="1"/>
    <x v="3"/>
    <x v="3"/>
  </r>
  <r>
    <s v="TX500418"/>
    <x v="6"/>
    <x v="3"/>
    <n v="43.5"/>
    <n v="304.5"/>
    <x v="18"/>
    <d v="2025-01-20T00:00:00"/>
    <s v="M"/>
    <x v="1"/>
    <x v="2"/>
    <x v="0"/>
    <x v="3"/>
    <n v="1"/>
    <x v="3"/>
    <x v="1"/>
  </r>
  <r>
    <s v="TX500419"/>
    <x v="9"/>
    <x v="10"/>
    <n v="30.5"/>
    <n v="579.5"/>
    <x v="18"/>
    <d v="2025-01-19T00:00:00"/>
    <s v="F"/>
    <x v="3"/>
    <x v="0"/>
    <x v="0"/>
    <x v="3"/>
    <n v="0"/>
    <x v="3"/>
    <x v="2"/>
  </r>
  <r>
    <s v="TX500420"/>
    <x v="1"/>
    <x v="1"/>
    <n v="107.7"/>
    <n v="215.4"/>
    <x v="18"/>
    <d v="2025-01-23T00:00:00"/>
    <s v="M"/>
    <x v="3"/>
    <x v="4"/>
    <x v="0"/>
    <x v="3"/>
    <n v="4"/>
    <x v="3"/>
    <x v="1"/>
  </r>
  <r>
    <s v="TX500421"/>
    <x v="17"/>
    <x v="18"/>
    <n v="57.1"/>
    <n v="1484.6000000000001"/>
    <x v="18"/>
    <d v="2025-01-20T00:00:00"/>
    <s v="M"/>
    <x v="1"/>
    <x v="0"/>
    <x v="0"/>
    <x v="3"/>
    <n v="1"/>
    <x v="3"/>
    <x v="1"/>
  </r>
  <r>
    <s v="TX500422"/>
    <x v="2"/>
    <x v="7"/>
    <n v="111.7"/>
    <n v="1117"/>
    <x v="18"/>
    <d v="2025-01-20T00:00:00"/>
    <s v="F"/>
    <x v="4"/>
    <x v="2"/>
    <x v="0"/>
    <x v="3"/>
    <n v="1"/>
    <x v="3"/>
    <x v="2"/>
  </r>
  <r>
    <s v="TX500423"/>
    <x v="18"/>
    <x v="3"/>
    <n v="44.3"/>
    <n v="310.09999999999997"/>
    <x v="18"/>
    <d v="2025-01-22T00:00:00"/>
    <s v="M"/>
    <x v="3"/>
    <x v="2"/>
    <x v="0"/>
    <x v="3"/>
    <n v="3"/>
    <x v="3"/>
    <x v="1"/>
  </r>
  <r>
    <s v="TX500424"/>
    <x v="2"/>
    <x v="8"/>
    <n v="95.8"/>
    <n v="766.4"/>
    <x v="18"/>
    <d v="2025-01-25T00:00:00"/>
    <s v="O"/>
    <x v="0"/>
    <x v="0"/>
    <x v="0"/>
    <x v="3"/>
    <n v="6"/>
    <x v="3"/>
    <x v="3"/>
  </r>
  <r>
    <s v="TX500425"/>
    <x v="10"/>
    <x v="3"/>
    <n v="22.6"/>
    <n v="158.20000000000002"/>
    <x v="18"/>
    <d v="2025-01-22T00:00:00"/>
    <s v="F"/>
    <x v="3"/>
    <x v="1"/>
    <x v="0"/>
    <x v="3"/>
    <n v="3"/>
    <x v="3"/>
    <x v="2"/>
  </r>
  <r>
    <s v="TX500426"/>
    <x v="8"/>
    <x v="8"/>
    <n v="25.6"/>
    <n v="204.8"/>
    <x v="18"/>
    <d v="2025-01-21T00:00:00"/>
    <s v="F"/>
    <x v="4"/>
    <x v="0"/>
    <x v="0"/>
    <x v="3"/>
    <n v="2"/>
    <x v="3"/>
    <x v="2"/>
  </r>
  <r>
    <s v="TX500427"/>
    <x v="6"/>
    <x v="27"/>
    <n v="54.3"/>
    <n v="868.8"/>
    <x v="18"/>
    <d v="2025-01-22T00:00:00"/>
    <s v="F"/>
    <x v="4"/>
    <x v="0"/>
    <x v="0"/>
    <x v="3"/>
    <n v="3"/>
    <x v="3"/>
    <x v="2"/>
  </r>
  <r>
    <s v="TX500428"/>
    <x v="18"/>
    <x v="15"/>
    <n v="51.3"/>
    <n v="666.9"/>
    <x v="18"/>
    <d v="2025-01-21T00:00:00"/>
    <s v="M"/>
    <x v="0"/>
    <x v="2"/>
    <x v="0"/>
    <x v="3"/>
    <n v="2"/>
    <x v="3"/>
    <x v="1"/>
  </r>
  <r>
    <s v="TX500429"/>
    <x v="0"/>
    <x v="8"/>
    <n v="25.6"/>
    <n v="204.8"/>
    <x v="18"/>
    <d v="2025-01-20T00:00:00"/>
    <s v="F"/>
    <x v="1"/>
    <x v="1"/>
    <x v="0"/>
    <x v="3"/>
    <n v="1"/>
    <x v="3"/>
    <x v="2"/>
  </r>
  <r>
    <s v="TX500430"/>
    <x v="0"/>
    <x v="1"/>
    <n v="15.6"/>
    <n v="31.2"/>
    <x v="18"/>
    <d v="2025-01-20T00:00:00"/>
    <s v="F"/>
    <x v="2"/>
    <x v="2"/>
    <x v="0"/>
    <x v="3"/>
    <n v="1"/>
    <x v="3"/>
    <x v="2"/>
  </r>
  <r>
    <s v="TX500431"/>
    <x v="8"/>
    <x v="2"/>
    <n v="30.3"/>
    <n v="90.9"/>
    <x v="18"/>
    <d v="2025-01-23T00:00:00"/>
    <s v="F"/>
    <x v="0"/>
    <x v="1"/>
    <x v="0"/>
    <x v="3"/>
    <n v="4"/>
    <x v="3"/>
    <x v="2"/>
  </r>
  <r>
    <s v="TX500432"/>
    <x v="12"/>
    <x v="1"/>
    <n v="30.3"/>
    <n v="60.6"/>
    <x v="18"/>
    <d v="2025-01-24T00:00:00"/>
    <s v="F"/>
    <x v="0"/>
    <x v="2"/>
    <x v="0"/>
    <x v="37"/>
    <n v="5"/>
    <x v="3"/>
    <x v="2"/>
  </r>
  <r>
    <s v="TX500433"/>
    <x v="10"/>
    <x v="2"/>
    <n v="53"/>
    <n v="159"/>
    <x v="18"/>
    <d v="2025-01-26T00:00:00"/>
    <s v="F"/>
    <x v="2"/>
    <x v="0"/>
    <x v="0"/>
    <x v="24"/>
    <n v="7"/>
    <x v="3"/>
    <x v="2"/>
  </r>
  <r>
    <s v="TX500434"/>
    <x v="5"/>
    <x v="16"/>
    <n v="59.9"/>
    <n v="1078.2"/>
    <x v="18"/>
    <d v="2025-01-22T00:00:00"/>
    <s v="M"/>
    <x v="2"/>
    <x v="4"/>
    <x v="0"/>
    <x v="25"/>
    <n v="3"/>
    <x v="3"/>
    <x v="1"/>
  </r>
  <r>
    <s v="TX500435"/>
    <x v="9"/>
    <x v="1"/>
    <n v="45.7"/>
    <n v="91.4"/>
    <x v="18"/>
    <d v="2025-01-20T00:00:00"/>
    <s v="F"/>
    <x v="1"/>
    <x v="2"/>
    <x v="0"/>
    <x v="6"/>
    <n v="1"/>
    <x v="3"/>
    <x v="2"/>
  </r>
  <r>
    <s v="TX500436"/>
    <x v="8"/>
    <x v="12"/>
    <n v="46.1"/>
    <n v="184.4"/>
    <x v="18"/>
    <d v="2025-01-20T00:00:00"/>
    <s v="M"/>
    <x v="0"/>
    <x v="0"/>
    <x v="0"/>
    <x v="6"/>
    <n v="1"/>
    <x v="3"/>
    <x v="1"/>
  </r>
  <r>
    <s v="TX500437"/>
    <x v="8"/>
    <x v="2"/>
    <n v="17.5"/>
    <n v="52.5"/>
    <x v="18"/>
    <d v="2025-01-20T00:00:00"/>
    <s v="F"/>
    <x v="0"/>
    <x v="2"/>
    <x v="0"/>
    <x v="8"/>
    <n v="1"/>
    <x v="3"/>
    <x v="2"/>
  </r>
  <r>
    <s v="TX500438"/>
    <x v="10"/>
    <x v="2"/>
    <n v="36.5"/>
    <n v="109.5"/>
    <x v="18"/>
    <d v="2025-01-30T00:00:00"/>
    <s v="M"/>
    <x v="2"/>
    <x v="0"/>
    <x v="0"/>
    <x v="8"/>
    <n v="11"/>
    <x v="3"/>
    <x v="1"/>
  </r>
  <r>
    <s v="TX500439"/>
    <x v="8"/>
    <x v="1"/>
    <n v="47.5"/>
    <n v="95"/>
    <x v="19"/>
    <d v="2025-01-22T00:00:00"/>
    <s v="F"/>
    <x v="1"/>
    <x v="0"/>
    <x v="0"/>
    <x v="8"/>
    <n v="2"/>
    <x v="3"/>
    <x v="2"/>
  </r>
  <r>
    <s v="TX500440"/>
    <x v="6"/>
    <x v="9"/>
    <n v="45.6"/>
    <n v="228"/>
    <x v="19"/>
    <d v="2025-01-22T00:00:00"/>
    <s v="F"/>
    <x v="0"/>
    <x v="2"/>
    <x v="0"/>
    <x v="8"/>
    <n v="2"/>
    <x v="3"/>
    <x v="2"/>
  </r>
  <r>
    <s v="TX500441"/>
    <x v="9"/>
    <x v="1"/>
    <n v="50.5"/>
    <n v="101"/>
    <x v="19"/>
    <d v="2025-01-22T00:00:00"/>
    <s v="M"/>
    <x v="0"/>
    <x v="1"/>
    <x v="0"/>
    <x v="17"/>
    <n v="2"/>
    <x v="3"/>
    <x v="1"/>
  </r>
  <r>
    <s v="TX500442"/>
    <x v="2"/>
    <x v="7"/>
    <n v="99.8"/>
    <n v="998"/>
    <x v="19"/>
    <d v="2025-01-23T00:00:00"/>
    <s v="F"/>
    <x v="2"/>
    <x v="1"/>
    <x v="0"/>
    <x v="17"/>
    <n v="3"/>
    <x v="3"/>
    <x v="2"/>
  </r>
  <r>
    <s v="TX500443"/>
    <x v="8"/>
    <x v="20"/>
    <n v="19.2"/>
    <n v="288"/>
    <x v="19"/>
    <d v="2025-01-22T00:00:00"/>
    <s v="O"/>
    <x v="4"/>
    <x v="1"/>
    <x v="0"/>
    <x v="26"/>
    <n v="2"/>
    <x v="3"/>
    <x v="3"/>
  </r>
  <r>
    <s v="TX500444"/>
    <x v="17"/>
    <x v="2"/>
    <n v="22.6"/>
    <n v="67.800000000000011"/>
    <x v="19"/>
    <d v="2025-01-21T00:00:00"/>
    <s v="M"/>
    <x v="1"/>
    <x v="0"/>
    <x v="0"/>
    <x v="11"/>
    <n v="1"/>
    <x v="3"/>
    <x v="1"/>
  </r>
  <r>
    <s v="TX500445"/>
    <x v="1"/>
    <x v="20"/>
    <n v="126.9"/>
    <n v="1903.5"/>
    <x v="19"/>
    <d v="2025-01-22T00:00:00"/>
    <s v="F"/>
    <x v="0"/>
    <x v="2"/>
    <x v="0"/>
    <x v="11"/>
    <n v="2"/>
    <x v="3"/>
    <x v="2"/>
  </r>
  <r>
    <s v="TX500446"/>
    <x v="2"/>
    <x v="1"/>
    <n v="100.3"/>
    <n v="200.6"/>
    <x v="19"/>
    <d v="2025-01-21T00:00:00"/>
    <s v="F"/>
    <x v="0"/>
    <x v="1"/>
    <x v="0"/>
    <x v="11"/>
    <n v="1"/>
    <x v="3"/>
    <x v="2"/>
  </r>
  <r>
    <s v="TX500447"/>
    <x v="4"/>
    <x v="16"/>
    <n v="24.6"/>
    <n v="442.8"/>
    <x v="19"/>
    <d v="2025-01-21T00:00:00"/>
    <s v="F"/>
    <x v="4"/>
    <x v="0"/>
    <x v="0"/>
    <x v="13"/>
    <n v="1"/>
    <x v="3"/>
    <x v="2"/>
  </r>
  <r>
    <s v="TX500448"/>
    <x v="6"/>
    <x v="1"/>
    <n v="47.3"/>
    <n v="94.6"/>
    <x v="19"/>
    <d v="2025-01-21T00:00:00"/>
    <s v="M"/>
    <x v="1"/>
    <x v="2"/>
    <x v="0"/>
    <x v="13"/>
    <n v="1"/>
    <x v="3"/>
    <x v="1"/>
  </r>
  <r>
    <s v="TX500449"/>
    <x v="6"/>
    <x v="3"/>
    <n v="40.799999999999997"/>
    <n v="285.59999999999997"/>
    <x v="19"/>
    <d v="2025-01-23T00:00:00"/>
    <s v="F"/>
    <x v="2"/>
    <x v="2"/>
    <x v="0"/>
    <x v="21"/>
    <n v="3"/>
    <x v="3"/>
    <x v="2"/>
  </r>
  <r>
    <s v="TX500450"/>
    <x v="8"/>
    <x v="8"/>
    <n v="49.2"/>
    <n v="393.6"/>
    <x v="19"/>
    <d v="2025-01-22T00:00:00"/>
    <s v="F"/>
    <x v="0"/>
    <x v="0"/>
    <x v="0"/>
    <x v="1"/>
    <n v="2"/>
    <x v="3"/>
    <x v="2"/>
  </r>
  <r>
    <s v="TX500451"/>
    <x v="8"/>
    <x v="0"/>
    <n v="28.5"/>
    <n v="28.5"/>
    <x v="19"/>
    <d v="2025-01-22T00:00:00"/>
    <s v=""/>
    <x v="2"/>
    <x v="1"/>
    <x v="0"/>
    <x v="3"/>
    <n v="2"/>
    <x v="3"/>
    <x v="0"/>
  </r>
  <r>
    <s v="TX500452"/>
    <x v="18"/>
    <x v="1"/>
    <n v="36.799999999999997"/>
    <n v="73.599999999999994"/>
    <x v="19"/>
    <d v="2025-01-26T00:00:00"/>
    <s v="F"/>
    <x v="0"/>
    <x v="2"/>
    <x v="0"/>
    <x v="3"/>
    <n v="6"/>
    <x v="3"/>
    <x v="2"/>
  </r>
  <r>
    <s v="TX500453"/>
    <x v="7"/>
    <x v="2"/>
    <n v="33.5"/>
    <n v="100.5"/>
    <x v="19"/>
    <d v="2025-01-21T00:00:00"/>
    <s v="F"/>
    <x v="0"/>
    <x v="1"/>
    <x v="0"/>
    <x v="3"/>
    <n v="1"/>
    <x v="3"/>
    <x v="2"/>
  </r>
  <r>
    <s v="TX500454"/>
    <x v="6"/>
    <x v="13"/>
    <n v="62.5"/>
    <n v="375"/>
    <x v="19"/>
    <d v="2025-01-22T00:00:00"/>
    <s v="F"/>
    <x v="0"/>
    <x v="0"/>
    <x v="0"/>
    <x v="3"/>
    <n v="2"/>
    <x v="3"/>
    <x v="2"/>
  </r>
  <r>
    <s v="TX500455"/>
    <x v="8"/>
    <x v="29"/>
    <n v="47.9"/>
    <n v="1916"/>
    <x v="19"/>
    <d v="2025-01-21T00:00:00"/>
    <s v="F"/>
    <x v="3"/>
    <x v="0"/>
    <x v="0"/>
    <x v="3"/>
    <n v="1"/>
    <x v="3"/>
    <x v="2"/>
  </r>
  <r>
    <s v="TX500456"/>
    <x v="6"/>
    <x v="13"/>
    <n v="92.9"/>
    <n v="557.40000000000009"/>
    <x v="19"/>
    <d v="2025-01-31T00:00:00"/>
    <s v="F"/>
    <x v="0"/>
    <x v="4"/>
    <x v="0"/>
    <x v="3"/>
    <n v="11"/>
    <x v="3"/>
    <x v="2"/>
  </r>
  <r>
    <s v="TX500457"/>
    <x v="12"/>
    <x v="2"/>
    <n v="44.1"/>
    <n v="132.30000000000001"/>
    <x v="19"/>
    <d v="2025-01-20T00:00:00"/>
    <s v="F"/>
    <x v="1"/>
    <x v="1"/>
    <x v="0"/>
    <x v="43"/>
    <n v="0"/>
    <x v="3"/>
    <x v="2"/>
  </r>
  <r>
    <s v="TX500458"/>
    <x v="0"/>
    <x v="0"/>
    <n v="11.4"/>
    <n v="11.4"/>
    <x v="20"/>
    <d v="2025-01-23T00:00:00"/>
    <s v="F"/>
    <x v="2"/>
    <x v="0"/>
    <x v="0"/>
    <x v="5"/>
    <n v="2"/>
    <x v="3"/>
    <x v="2"/>
  </r>
  <r>
    <s v="TX500459"/>
    <x v="6"/>
    <x v="0"/>
    <n v="83.7"/>
    <n v="83.7"/>
    <x v="20"/>
    <d v="2025-01-23T00:00:00"/>
    <s v="F"/>
    <x v="0"/>
    <x v="2"/>
    <x v="0"/>
    <x v="6"/>
    <n v="2"/>
    <x v="3"/>
    <x v="2"/>
  </r>
  <r>
    <s v="TX500460"/>
    <x v="10"/>
    <x v="1"/>
    <n v="23.2"/>
    <n v="46.4"/>
    <x v="20"/>
    <d v="2025-01-22T00:00:00"/>
    <s v="M"/>
    <x v="2"/>
    <x v="0"/>
    <x v="0"/>
    <x v="8"/>
    <n v="1"/>
    <x v="3"/>
    <x v="1"/>
  </r>
  <r>
    <s v="TX500461"/>
    <x v="2"/>
    <x v="0"/>
    <n v="162.1"/>
    <n v="162.1"/>
    <x v="20"/>
    <d v="2025-01-24T00:00:00"/>
    <s v="F"/>
    <x v="0"/>
    <x v="2"/>
    <x v="0"/>
    <x v="9"/>
    <n v="3"/>
    <x v="3"/>
    <x v="2"/>
  </r>
  <r>
    <s v="TX500462"/>
    <x v="6"/>
    <x v="12"/>
    <n v="49.2"/>
    <n v="196.8"/>
    <x v="20"/>
    <d v="2025-01-25T00:00:00"/>
    <s v="M"/>
    <x v="1"/>
    <x v="0"/>
    <x v="0"/>
    <x v="9"/>
    <n v="4"/>
    <x v="3"/>
    <x v="1"/>
  </r>
  <r>
    <s v="TX500463"/>
    <x v="1"/>
    <x v="1"/>
    <n v="61"/>
    <n v="122"/>
    <x v="20"/>
    <d v="2025-01-22T00:00:00"/>
    <s v="M"/>
    <x v="3"/>
    <x v="0"/>
    <x v="0"/>
    <x v="10"/>
    <n v="1"/>
    <x v="3"/>
    <x v="1"/>
  </r>
  <r>
    <s v="TX500464"/>
    <x v="2"/>
    <x v="7"/>
    <n v="53.1"/>
    <n v="531"/>
    <x v="20"/>
    <d v="2025-01-23T00:00:00"/>
    <s v="M"/>
    <x v="0"/>
    <x v="0"/>
    <x v="0"/>
    <x v="11"/>
    <n v="2"/>
    <x v="3"/>
    <x v="1"/>
  </r>
  <r>
    <s v="TX500465"/>
    <x v="4"/>
    <x v="1"/>
    <n v="22.4"/>
    <n v="44.8"/>
    <x v="20"/>
    <d v="2025-01-23T00:00:00"/>
    <s v=""/>
    <x v="1"/>
    <x v="2"/>
    <x v="0"/>
    <x v="13"/>
    <n v="2"/>
    <x v="3"/>
    <x v="0"/>
  </r>
  <r>
    <s v="TX500466"/>
    <x v="1"/>
    <x v="9"/>
    <n v="75.3"/>
    <n v="376.5"/>
    <x v="20"/>
    <d v="2025-01-22T00:00:00"/>
    <s v="M"/>
    <x v="0"/>
    <x v="0"/>
    <x v="0"/>
    <x v="21"/>
    <n v="1"/>
    <x v="3"/>
    <x v="1"/>
  </r>
  <r>
    <s v="TX500467"/>
    <x v="6"/>
    <x v="0"/>
    <n v="48.5"/>
    <n v="48.5"/>
    <x v="20"/>
    <d v="2025-01-22T00:00:00"/>
    <s v="F"/>
    <x v="0"/>
    <x v="1"/>
    <x v="0"/>
    <x v="21"/>
    <n v="1"/>
    <x v="3"/>
    <x v="2"/>
  </r>
  <r>
    <s v="TX500468"/>
    <x v="6"/>
    <x v="0"/>
    <n v="42.6"/>
    <n v="42.6"/>
    <x v="20"/>
    <d v="2025-01-25T00:00:00"/>
    <s v="F"/>
    <x v="3"/>
    <x v="0"/>
    <x v="0"/>
    <x v="1"/>
    <n v="4"/>
    <x v="3"/>
    <x v="2"/>
  </r>
  <r>
    <s v="TX500469"/>
    <x v="5"/>
    <x v="9"/>
    <n v="49"/>
    <n v="245"/>
    <x v="20"/>
    <d v="2025-01-22T00:00:00"/>
    <s v="M"/>
    <x v="0"/>
    <x v="0"/>
    <x v="0"/>
    <x v="22"/>
    <n v="1"/>
    <x v="3"/>
    <x v="1"/>
  </r>
  <r>
    <s v="TX500470"/>
    <x v="8"/>
    <x v="2"/>
    <n v="31.3"/>
    <n v="93.9"/>
    <x v="20"/>
    <d v="2025-01-22T00:00:00"/>
    <s v="M"/>
    <x v="2"/>
    <x v="1"/>
    <x v="0"/>
    <x v="3"/>
    <n v="1"/>
    <x v="3"/>
    <x v="1"/>
  </r>
  <r>
    <s v="TX500471"/>
    <x v="2"/>
    <x v="1"/>
    <n v="85.4"/>
    <n v="170.8"/>
    <x v="20"/>
    <d v="2025-01-22T00:00:00"/>
    <s v="F"/>
    <x v="2"/>
    <x v="0"/>
    <x v="0"/>
    <x v="3"/>
    <n v="1"/>
    <x v="3"/>
    <x v="2"/>
  </r>
  <r>
    <s v="TX500472"/>
    <x v="8"/>
    <x v="12"/>
    <n v="40"/>
    <n v="160"/>
    <x v="20"/>
    <d v="2025-01-22T00:00:00"/>
    <s v="O"/>
    <x v="0"/>
    <x v="2"/>
    <x v="0"/>
    <x v="3"/>
    <n v="1"/>
    <x v="3"/>
    <x v="3"/>
  </r>
  <r>
    <s v="TX500473"/>
    <x v="5"/>
    <x v="1"/>
    <n v="38.5"/>
    <n v="77"/>
    <x v="20"/>
    <d v="2025-01-24T00:00:00"/>
    <s v="M"/>
    <x v="1"/>
    <x v="2"/>
    <x v="0"/>
    <x v="3"/>
    <n v="3"/>
    <x v="3"/>
    <x v="1"/>
  </r>
  <r>
    <s v="TX500474"/>
    <x v="2"/>
    <x v="1"/>
    <n v="57.8"/>
    <n v="115.6"/>
    <x v="20"/>
    <d v="2025-01-22T00:00:00"/>
    <s v=""/>
    <x v="0"/>
    <x v="0"/>
    <x v="0"/>
    <x v="3"/>
    <n v="1"/>
    <x v="3"/>
    <x v="0"/>
  </r>
  <r>
    <s v="TX500475"/>
    <x v="8"/>
    <x v="0"/>
    <n v="19.2"/>
    <n v="19.2"/>
    <x v="20"/>
    <d v="2025-01-22T00:00:00"/>
    <s v="F"/>
    <x v="0"/>
    <x v="4"/>
    <x v="0"/>
    <x v="3"/>
    <n v="1"/>
    <x v="3"/>
    <x v="2"/>
  </r>
  <r>
    <s v="TX500476"/>
    <x v="6"/>
    <x v="13"/>
    <n v="114.8"/>
    <n v="688.8"/>
    <x v="20"/>
    <d v="2025-01-24T00:00:00"/>
    <s v="M"/>
    <x v="1"/>
    <x v="1"/>
    <x v="0"/>
    <x v="3"/>
    <n v="3"/>
    <x v="3"/>
    <x v="1"/>
  </r>
  <r>
    <s v="TX500477"/>
    <x v="10"/>
    <x v="3"/>
    <n v="48.4"/>
    <n v="338.8"/>
    <x v="20"/>
    <d v="2025-01-24T00:00:00"/>
    <s v="F"/>
    <x v="3"/>
    <x v="1"/>
    <x v="0"/>
    <x v="3"/>
    <n v="3"/>
    <x v="3"/>
    <x v="2"/>
  </r>
  <r>
    <s v="TX500478"/>
    <x v="9"/>
    <x v="9"/>
    <n v="73.2"/>
    <n v="366"/>
    <x v="20"/>
    <d v="2025-01-22T00:00:00"/>
    <s v="F"/>
    <x v="1"/>
    <x v="4"/>
    <x v="0"/>
    <x v="3"/>
    <n v="1"/>
    <x v="3"/>
    <x v="2"/>
  </r>
  <r>
    <s v="TX500479"/>
    <x v="15"/>
    <x v="1"/>
    <n v="48.6"/>
    <n v="97.2"/>
    <x v="20"/>
    <d v="2025-01-25T00:00:00"/>
    <s v="F"/>
    <x v="3"/>
    <x v="0"/>
    <x v="0"/>
    <x v="3"/>
    <n v="4"/>
    <x v="3"/>
    <x v="2"/>
  </r>
  <r>
    <s v="TX500480"/>
    <x v="0"/>
    <x v="13"/>
    <n v="48.7"/>
    <n v="292.20000000000005"/>
    <x v="20"/>
    <d v="2025-01-22T00:00:00"/>
    <s v="M"/>
    <x v="0"/>
    <x v="0"/>
    <x v="0"/>
    <x v="3"/>
    <n v="1"/>
    <x v="3"/>
    <x v="1"/>
  </r>
  <r>
    <s v="TX500481"/>
    <x v="4"/>
    <x v="1"/>
    <n v="32.200000000000003"/>
    <n v="64.400000000000006"/>
    <x v="20"/>
    <d v="2025-01-24T00:00:00"/>
    <s v="M"/>
    <x v="2"/>
    <x v="2"/>
    <x v="0"/>
    <x v="3"/>
    <n v="3"/>
    <x v="3"/>
    <x v="1"/>
  </r>
  <r>
    <s v="TX500482"/>
    <x v="15"/>
    <x v="8"/>
    <n v="25.8"/>
    <n v="206.4"/>
    <x v="20"/>
    <d v="2025-01-22T00:00:00"/>
    <s v="M"/>
    <x v="0"/>
    <x v="0"/>
    <x v="0"/>
    <x v="37"/>
    <n v="1"/>
    <x v="3"/>
    <x v="1"/>
  </r>
  <r>
    <s v="TX500483"/>
    <x v="6"/>
    <x v="1"/>
    <n v="94.8"/>
    <n v="189.6"/>
    <x v="21"/>
    <d v="2025-01-25T00:00:00"/>
    <s v="F"/>
    <x v="1"/>
    <x v="1"/>
    <x v="0"/>
    <x v="25"/>
    <n v="3"/>
    <x v="3"/>
    <x v="2"/>
  </r>
  <r>
    <s v="TX500484"/>
    <x v="15"/>
    <x v="30"/>
    <n v="56.8"/>
    <n v="1420"/>
    <x v="21"/>
    <d v="2025-01-25T00:00:00"/>
    <s v="M"/>
    <x v="0"/>
    <x v="0"/>
    <x v="0"/>
    <x v="25"/>
    <n v="3"/>
    <x v="3"/>
    <x v="1"/>
  </r>
  <r>
    <s v="TX500485"/>
    <x v="8"/>
    <x v="27"/>
    <n v="18.3"/>
    <n v="292.8"/>
    <x v="21"/>
    <d v="2025-01-29T00:00:00"/>
    <s v="F"/>
    <x v="2"/>
    <x v="2"/>
    <x v="0"/>
    <x v="23"/>
    <n v="7"/>
    <x v="3"/>
    <x v="2"/>
  </r>
  <r>
    <s v="TX500486"/>
    <x v="0"/>
    <x v="2"/>
    <n v="16.8"/>
    <n v="50.400000000000006"/>
    <x v="21"/>
    <d v="2025-01-27T00:00:00"/>
    <s v="F"/>
    <x v="2"/>
    <x v="2"/>
    <x v="0"/>
    <x v="8"/>
    <n v="5"/>
    <x v="3"/>
    <x v="2"/>
  </r>
  <r>
    <s v="TX500487"/>
    <x v="5"/>
    <x v="5"/>
    <n v="35.799999999999997"/>
    <n v="393.79999999999995"/>
    <x v="21"/>
    <d v="2025-01-23T00:00:00"/>
    <s v="M"/>
    <x v="1"/>
    <x v="0"/>
    <x v="0"/>
    <x v="17"/>
    <n v="1"/>
    <x v="3"/>
    <x v="1"/>
  </r>
  <r>
    <s v="TX500488"/>
    <x v="18"/>
    <x v="0"/>
    <n v="64.900000000000006"/>
    <n v="64.900000000000006"/>
    <x v="21"/>
    <d v="2025-01-23T00:00:00"/>
    <s v="M"/>
    <x v="0"/>
    <x v="1"/>
    <x v="0"/>
    <x v="17"/>
    <n v="1"/>
    <x v="3"/>
    <x v="1"/>
  </r>
  <r>
    <s v="TX500489"/>
    <x v="18"/>
    <x v="0"/>
    <n v="28.5"/>
    <n v="28.5"/>
    <x v="21"/>
    <d v="2025-01-24T00:00:00"/>
    <s v=""/>
    <x v="1"/>
    <x v="0"/>
    <x v="0"/>
    <x v="9"/>
    <n v="2"/>
    <x v="3"/>
    <x v="0"/>
  </r>
  <r>
    <s v="TX500490"/>
    <x v="18"/>
    <x v="1"/>
    <n v="103.5"/>
    <n v="207"/>
    <x v="21"/>
    <d v="2025-01-24T00:00:00"/>
    <s v="F"/>
    <x v="1"/>
    <x v="0"/>
    <x v="0"/>
    <x v="10"/>
    <n v="2"/>
    <x v="3"/>
    <x v="2"/>
  </r>
  <r>
    <s v="TX500491"/>
    <x v="4"/>
    <x v="1"/>
    <n v="41.2"/>
    <n v="82.4"/>
    <x v="21"/>
    <d v="2025-01-23T00:00:00"/>
    <s v="F"/>
    <x v="1"/>
    <x v="0"/>
    <x v="0"/>
    <x v="10"/>
    <n v="1"/>
    <x v="3"/>
    <x v="2"/>
  </r>
  <r>
    <s v="TX500492"/>
    <x v="9"/>
    <x v="0"/>
    <n v="37.799999999999997"/>
    <n v="37.799999999999997"/>
    <x v="21"/>
    <d v="2025-01-24T00:00:00"/>
    <s v="F"/>
    <x v="3"/>
    <x v="3"/>
    <x v="0"/>
    <x v="11"/>
    <n v="2"/>
    <x v="3"/>
    <x v="2"/>
  </r>
  <r>
    <s v="TX500493"/>
    <x v="8"/>
    <x v="1"/>
    <n v="42.6"/>
    <n v="85.2"/>
    <x v="21"/>
    <d v="2025-01-24T00:00:00"/>
    <s v="F"/>
    <x v="4"/>
    <x v="0"/>
    <x v="0"/>
    <x v="11"/>
    <n v="2"/>
    <x v="3"/>
    <x v="2"/>
  </r>
  <r>
    <s v="TX500494"/>
    <x v="8"/>
    <x v="7"/>
    <n v="15.2"/>
    <n v="152"/>
    <x v="21"/>
    <d v="2025-01-24T00:00:00"/>
    <s v="F"/>
    <x v="2"/>
    <x v="0"/>
    <x v="0"/>
    <x v="11"/>
    <n v="2"/>
    <x v="3"/>
    <x v="2"/>
  </r>
  <r>
    <s v="TX500495"/>
    <x v="7"/>
    <x v="12"/>
    <n v="83.4"/>
    <n v="333.6"/>
    <x v="21"/>
    <d v="2025-01-23T00:00:00"/>
    <s v="F"/>
    <x v="2"/>
    <x v="1"/>
    <x v="0"/>
    <x v="18"/>
    <n v="1"/>
    <x v="3"/>
    <x v="2"/>
  </r>
  <r>
    <s v="TX500496"/>
    <x v="19"/>
    <x v="1"/>
    <n v="27.7"/>
    <n v="55.4"/>
    <x v="21"/>
    <d v="2025-01-23T00:00:00"/>
    <s v="F"/>
    <x v="0"/>
    <x v="1"/>
    <x v="0"/>
    <x v="13"/>
    <n v="1"/>
    <x v="3"/>
    <x v="2"/>
  </r>
  <r>
    <s v="TX500497"/>
    <x v="10"/>
    <x v="4"/>
    <n v="20.8"/>
    <n v="249.60000000000002"/>
    <x v="21"/>
    <d v="2025-01-23T00:00:00"/>
    <s v="M"/>
    <x v="3"/>
    <x v="0"/>
    <x v="0"/>
    <x v="13"/>
    <n v="1"/>
    <x v="3"/>
    <x v="1"/>
  </r>
  <r>
    <s v="TX500498"/>
    <x v="11"/>
    <x v="1"/>
    <n v="72.7"/>
    <n v="145.4"/>
    <x v="21"/>
    <d v="2025-01-26T00:00:00"/>
    <s v="F"/>
    <x v="4"/>
    <x v="2"/>
    <x v="0"/>
    <x v="44"/>
    <n v="4"/>
    <x v="3"/>
    <x v="2"/>
  </r>
  <r>
    <s v="TX500499"/>
    <x v="10"/>
    <x v="12"/>
    <n v="38.6"/>
    <n v="154.4"/>
    <x v="21"/>
    <d v="2025-01-23T00:00:00"/>
    <s v="M"/>
    <x v="0"/>
    <x v="2"/>
    <x v="0"/>
    <x v="22"/>
    <n v="1"/>
    <x v="3"/>
    <x v="1"/>
  </r>
  <r>
    <s v="TX500500"/>
    <x v="8"/>
    <x v="3"/>
    <n v="33.1"/>
    <n v="231.70000000000002"/>
    <x v="21"/>
    <d v="2025-01-23T00:00:00"/>
    <s v="O"/>
    <x v="4"/>
    <x v="3"/>
    <x v="0"/>
    <x v="3"/>
    <n v="1"/>
    <x v="3"/>
    <x v="3"/>
  </r>
  <r>
    <s v="TX500501"/>
    <x v="10"/>
    <x v="1"/>
    <n v="30.5"/>
    <n v="61"/>
    <x v="21"/>
    <d v="2025-01-22T00:00:00"/>
    <s v=""/>
    <x v="1"/>
    <x v="1"/>
    <x v="0"/>
    <x v="3"/>
    <n v="0"/>
    <x v="3"/>
    <x v="0"/>
  </r>
  <r>
    <s v="TX500502"/>
    <x v="9"/>
    <x v="1"/>
    <n v="69.599999999999994"/>
    <n v="139.19999999999999"/>
    <x v="21"/>
    <d v="2025-01-23T00:00:00"/>
    <s v="M"/>
    <x v="0"/>
    <x v="1"/>
    <x v="0"/>
    <x v="3"/>
    <n v="1"/>
    <x v="3"/>
    <x v="1"/>
  </r>
  <r>
    <s v="TX500503"/>
    <x v="11"/>
    <x v="0"/>
    <n v="42.4"/>
    <n v="42.4"/>
    <x v="21"/>
    <d v="2025-01-26T00:00:00"/>
    <s v="F"/>
    <x v="1"/>
    <x v="0"/>
    <x v="0"/>
    <x v="3"/>
    <n v="4"/>
    <x v="3"/>
    <x v="2"/>
  </r>
  <r>
    <s v="TX500504"/>
    <x v="17"/>
    <x v="0"/>
    <n v="32.200000000000003"/>
    <n v="32.200000000000003"/>
    <x v="21"/>
    <d v="2025-01-25T00:00:00"/>
    <s v="F"/>
    <x v="2"/>
    <x v="1"/>
    <x v="0"/>
    <x v="3"/>
    <n v="3"/>
    <x v="3"/>
    <x v="2"/>
  </r>
  <r>
    <s v="TX500505"/>
    <x v="6"/>
    <x v="1"/>
    <n v="41.5"/>
    <n v="83"/>
    <x v="21"/>
    <d v="2025-01-25T00:00:00"/>
    <s v="F"/>
    <x v="0"/>
    <x v="2"/>
    <x v="0"/>
    <x v="3"/>
    <n v="3"/>
    <x v="3"/>
    <x v="2"/>
  </r>
  <r>
    <s v="TX500506"/>
    <x v="16"/>
    <x v="11"/>
    <n v="58.9"/>
    <n v="530.1"/>
    <x v="21"/>
    <d v="2025-01-26T00:00:00"/>
    <s v="F"/>
    <x v="3"/>
    <x v="0"/>
    <x v="0"/>
    <x v="3"/>
    <n v="4"/>
    <x v="3"/>
    <x v="2"/>
  </r>
  <r>
    <s v="TX500507"/>
    <x v="2"/>
    <x v="0"/>
    <n v="57.1"/>
    <n v="57.1"/>
    <x v="21"/>
    <d v="2025-01-25T00:00:00"/>
    <s v="F"/>
    <x v="1"/>
    <x v="0"/>
    <x v="0"/>
    <x v="3"/>
    <n v="3"/>
    <x v="3"/>
    <x v="2"/>
  </r>
  <r>
    <s v="TX500508"/>
    <x v="6"/>
    <x v="0"/>
    <n v="57.2"/>
    <n v="57.2"/>
    <x v="21"/>
    <d v="2025-01-24T00:00:00"/>
    <s v="M"/>
    <x v="1"/>
    <x v="0"/>
    <x v="0"/>
    <x v="3"/>
    <n v="2"/>
    <x v="3"/>
    <x v="1"/>
  </r>
  <r>
    <s v="TX500509"/>
    <x v="8"/>
    <x v="1"/>
    <n v="35.1"/>
    <n v="70.2"/>
    <x v="21"/>
    <d v="2025-01-23T00:00:00"/>
    <s v="M"/>
    <x v="1"/>
    <x v="0"/>
    <x v="0"/>
    <x v="6"/>
    <n v="1"/>
    <x v="3"/>
    <x v="1"/>
  </r>
  <r>
    <s v="TX500510"/>
    <x v="1"/>
    <x v="0"/>
    <n v="52.1"/>
    <n v="52.1"/>
    <x v="21"/>
    <d v="2025-01-24T00:00:00"/>
    <s v="F"/>
    <x v="4"/>
    <x v="1"/>
    <x v="0"/>
    <x v="8"/>
    <n v="2"/>
    <x v="3"/>
    <x v="2"/>
  </r>
  <r>
    <s v="TX500511"/>
    <x v="13"/>
    <x v="2"/>
    <n v="59.8"/>
    <n v="179.39999999999998"/>
    <x v="21"/>
    <d v="2025-01-24T00:00:00"/>
    <s v="F"/>
    <x v="4"/>
    <x v="1"/>
    <x v="0"/>
    <x v="8"/>
    <n v="2"/>
    <x v="3"/>
    <x v="2"/>
  </r>
  <r>
    <s v="TX500512"/>
    <x v="3"/>
    <x v="12"/>
    <n v="83.3"/>
    <n v="333.2"/>
    <x v="21"/>
    <d v="2025-01-22T00:00:00"/>
    <s v=""/>
    <x v="2"/>
    <x v="0"/>
    <x v="0"/>
    <x v="8"/>
    <n v="0"/>
    <x v="3"/>
    <x v="0"/>
  </r>
  <r>
    <s v="TX500513"/>
    <x v="15"/>
    <x v="4"/>
    <n v="41.3"/>
    <n v="495.59999999999997"/>
    <x v="21"/>
    <d v="2025-01-23T00:00:00"/>
    <s v="F"/>
    <x v="1"/>
    <x v="0"/>
    <x v="0"/>
    <x v="8"/>
    <n v="1"/>
    <x v="3"/>
    <x v="2"/>
  </r>
  <r>
    <s v="TX500514"/>
    <x v="8"/>
    <x v="9"/>
    <n v="16"/>
    <n v="80"/>
    <x v="21"/>
    <d v="2025-01-24T00:00:00"/>
    <s v="M"/>
    <x v="4"/>
    <x v="1"/>
    <x v="0"/>
    <x v="9"/>
    <n v="2"/>
    <x v="3"/>
    <x v="1"/>
  </r>
  <r>
    <s v="TX500515"/>
    <x v="10"/>
    <x v="1"/>
    <n v="20.8"/>
    <n v="41.6"/>
    <x v="22"/>
    <d v="2025-01-25T00:00:00"/>
    <s v="M"/>
    <x v="0"/>
    <x v="2"/>
    <x v="0"/>
    <x v="11"/>
    <n v="2"/>
    <x v="3"/>
    <x v="1"/>
  </r>
  <r>
    <s v="TX500516"/>
    <x v="8"/>
    <x v="31"/>
    <n v="27.1"/>
    <n v="758.80000000000007"/>
    <x v="22"/>
    <d v="2025-01-24T00:00:00"/>
    <s v=""/>
    <x v="3"/>
    <x v="2"/>
    <x v="0"/>
    <x v="11"/>
    <n v="1"/>
    <x v="3"/>
    <x v="0"/>
  </r>
  <r>
    <s v="TX500517"/>
    <x v="10"/>
    <x v="1"/>
    <n v="38.9"/>
    <n v="77.8"/>
    <x v="22"/>
    <d v="2025-01-25T00:00:00"/>
    <s v="F"/>
    <x v="0"/>
    <x v="0"/>
    <x v="0"/>
    <x v="18"/>
    <n v="2"/>
    <x v="3"/>
    <x v="2"/>
  </r>
  <r>
    <s v="TX500518"/>
    <x v="0"/>
    <x v="1"/>
    <n v="10.8"/>
    <n v="21.6"/>
    <x v="22"/>
    <d v="2025-01-26T00:00:00"/>
    <s v="F"/>
    <x v="1"/>
    <x v="2"/>
    <x v="0"/>
    <x v="45"/>
    <n v="3"/>
    <x v="3"/>
    <x v="2"/>
  </r>
  <r>
    <s v="TX500519"/>
    <x v="4"/>
    <x v="15"/>
    <n v="48.4"/>
    <n v="629.19999999999993"/>
    <x v="22"/>
    <d v="2025-01-27T00:00:00"/>
    <s v="F"/>
    <x v="0"/>
    <x v="0"/>
    <x v="0"/>
    <x v="21"/>
    <n v="4"/>
    <x v="3"/>
    <x v="2"/>
  </r>
  <r>
    <s v="TX500520"/>
    <x v="4"/>
    <x v="2"/>
    <n v="29.2"/>
    <n v="87.6"/>
    <x v="22"/>
    <d v="2025-01-26T00:00:00"/>
    <s v="F"/>
    <x v="1"/>
    <x v="1"/>
    <x v="0"/>
    <x v="2"/>
    <n v="3"/>
    <x v="3"/>
    <x v="2"/>
  </r>
  <r>
    <s v="TX500521"/>
    <x v="4"/>
    <x v="1"/>
    <n v="25.1"/>
    <n v="50.2"/>
    <x v="22"/>
    <d v="2025-01-24T00:00:00"/>
    <s v="M"/>
    <x v="0"/>
    <x v="1"/>
    <x v="0"/>
    <x v="2"/>
    <n v="1"/>
    <x v="3"/>
    <x v="1"/>
  </r>
  <r>
    <s v="TX500522"/>
    <x v="7"/>
    <x v="2"/>
    <n v="65.599999999999994"/>
    <n v="196.79999999999998"/>
    <x v="22"/>
    <d v="2025-01-23T00:00:00"/>
    <s v="F"/>
    <x v="2"/>
    <x v="1"/>
    <x v="0"/>
    <x v="3"/>
    <n v="0"/>
    <x v="3"/>
    <x v="2"/>
  </r>
  <r>
    <s v="TX500523"/>
    <x v="2"/>
    <x v="1"/>
    <n v="57.3"/>
    <n v="114.6"/>
    <x v="22"/>
    <d v="2025-01-23T00:00:00"/>
    <s v=""/>
    <x v="0"/>
    <x v="0"/>
    <x v="0"/>
    <x v="3"/>
    <n v="0"/>
    <x v="3"/>
    <x v="0"/>
  </r>
  <r>
    <s v="TX500524"/>
    <x v="9"/>
    <x v="12"/>
    <n v="22.4"/>
    <n v="89.6"/>
    <x v="22"/>
    <d v="2025-01-24T00:00:00"/>
    <s v="F"/>
    <x v="2"/>
    <x v="2"/>
    <x v="0"/>
    <x v="3"/>
    <n v="1"/>
    <x v="3"/>
    <x v="2"/>
  </r>
  <r>
    <s v="TX500525"/>
    <x v="12"/>
    <x v="11"/>
    <n v="45.7"/>
    <n v="411.3"/>
    <x v="22"/>
    <d v="2025-01-24T00:00:00"/>
    <s v="F"/>
    <x v="0"/>
    <x v="0"/>
    <x v="0"/>
    <x v="3"/>
    <n v="1"/>
    <x v="3"/>
    <x v="2"/>
  </r>
  <r>
    <s v="TX500526"/>
    <x v="8"/>
    <x v="1"/>
    <n v="29.3"/>
    <n v="58.6"/>
    <x v="22"/>
    <d v="2025-01-24T00:00:00"/>
    <s v="M"/>
    <x v="1"/>
    <x v="0"/>
    <x v="0"/>
    <x v="3"/>
    <n v="1"/>
    <x v="3"/>
    <x v="1"/>
  </r>
  <r>
    <s v="TX500527"/>
    <x v="18"/>
    <x v="32"/>
    <n v="74"/>
    <n v="1628"/>
    <x v="22"/>
    <d v="2025-01-24T00:00:00"/>
    <s v="M"/>
    <x v="0"/>
    <x v="2"/>
    <x v="0"/>
    <x v="3"/>
    <n v="1"/>
    <x v="3"/>
    <x v="1"/>
  </r>
  <r>
    <s v="TX500528"/>
    <x v="14"/>
    <x v="1"/>
    <n v="39.200000000000003"/>
    <n v="78.400000000000006"/>
    <x v="22"/>
    <d v="2025-01-25T00:00:00"/>
    <s v="F"/>
    <x v="1"/>
    <x v="0"/>
    <x v="0"/>
    <x v="3"/>
    <n v="2"/>
    <x v="3"/>
    <x v="2"/>
  </r>
  <r>
    <s v="TX500529"/>
    <x v="4"/>
    <x v="14"/>
    <n v="62.7"/>
    <n v="1065.9000000000001"/>
    <x v="22"/>
    <d v="2025-01-24T00:00:00"/>
    <s v="F"/>
    <x v="2"/>
    <x v="1"/>
    <x v="0"/>
    <x v="3"/>
    <n v="1"/>
    <x v="3"/>
    <x v="2"/>
  </r>
  <r>
    <s v="TX500530"/>
    <x v="10"/>
    <x v="1"/>
    <n v="60.1"/>
    <n v="120.2"/>
    <x v="22"/>
    <d v="2025-01-24T00:00:00"/>
    <s v="F"/>
    <x v="3"/>
    <x v="0"/>
    <x v="0"/>
    <x v="3"/>
    <n v="1"/>
    <x v="3"/>
    <x v="2"/>
  </r>
  <r>
    <s v="TX500531"/>
    <x v="0"/>
    <x v="12"/>
    <n v="11.2"/>
    <n v="44.8"/>
    <x v="22"/>
    <d v="2025-01-24T00:00:00"/>
    <s v="F"/>
    <x v="3"/>
    <x v="1"/>
    <x v="0"/>
    <x v="3"/>
    <n v="1"/>
    <x v="3"/>
    <x v="2"/>
  </r>
  <r>
    <s v="TX500532"/>
    <x v="8"/>
    <x v="1"/>
    <n v="22.9"/>
    <n v="45.8"/>
    <x v="22"/>
    <d v="2025-01-24T00:00:00"/>
    <s v="F"/>
    <x v="0"/>
    <x v="0"/>
    <x v="0"/>
    <x v="6"/>
    <n v="1"/>
    <x v="3"/>
    <x v="2"/>
  </r>
  <r>
    <s v="TX500533"/>
    <x v="1"/>
    <x v="1"/>
    <n v="37.6"/>
    <n v="75.2"/>
    <x v="22"/>
    <d v="2025-01-26T00:00:00"/>
    <s v="F"/>
    <x v="0"/>
    <x v="0"/>
    <x v="0"/>
    <x v="6"/>
    <n v="3"/>
    <x v="3"/>
    <x v="2"/>
  </r>
  <r>
    <s v="TX500534"/>
    <x v="6"/>
    <x v="0"/>
    <n v="42.4"/>
    <n v="42.4"/>
    <x v="22"/>
    <d v="2025-01-24T00:00:00"/>
    <s v="F"/>
    <x v="3"/>
    <x v="2"/>
    <x v="0"/>
    <x v="6"/>
    <n v="1"/>
    <x v="3"/>
    <x v="2"/>
  </r>
  <r>
    <s v="TX500535"/>
    <x v="8"/>
    <x v="1"/>
    <n v="19.600000000000001"/>
    <n v="39.200000000000003"/>
    <x v="22"/>
    <d v="2025-01-27T00:00:00"/>
    <s v="F"/>
    <x v="2"/>
    <x v="0"/>
    <x v="0"/>
    <x v="7"/>
    <n v="4"/>
    <x v="3"/>
    <x v="2"/>
  </r>
  <r>
    <s v="TX500536"/>
    <x v="9"/>
    <x v="0"/>
    <n v="90.5"/>
    <n v="90.5"/>
    <x v="22"/>
    <d v="2025-01-26T00:00:00"/>
    <s v="F"/>
    <x v="2"/>
    <x v="0"/>
    <x v="0"/>
    <x v="7"/>
    <n v="3"/>
    <x v="3"/>
    <x v="2"/>
  </r>
  <r>
    <s v="TX500537"/>
    <x v="16"/>
    <x v="5"/>
    <n v="33.9"/>
    <n v="372.9"/>
    <x v="22"/>
    <d v="2025-01-24T00:00:00"/>
    <s v="M"/>
    <x v="2"/>
    <x v="1"/>
    <x v="0"/>
    <x v="7"/>
    <n v="1"/>
    <x v="3"/>
    <x v="1"/>
  </r>
  <r>
    <s v="TX500538"/>
    <x v="0"/>
    <x v="1"/>
    <n v="32.799999999999997"/>
    <n v="65.599999999999994"/>
    <x v="22"/>
    <d v="2025-01-25T00:00:00"/>
    <s v="F"/>
    <x v="4"/>
    <x v="4"/>
    <x v="0"/>
    <x v="8"/>
    <n v="2"/>
    <x v="3"/>
    <x v="2"/>
  </r>
  <r>
    <s v="TX500539"/>
    <x v="15"/>
    <x v="0"/>
    <n v="49.9"/>
    <n v="49.9"/>
    <x v="22"/>
    <d v="2025-01-24T00:00:00"/>
    <s v="M"/>
    <x v="3"/>
    <x v="1"/>
    <x v="0"/>
    <x v="8"/>
    <n v="1"/>
    <x v="3"/>
    <x v="1"/>
  </r>
  <r>
    <s v="TX500540"/>
    <x v="7"/>
    <x v="9"/>
    <n v="79.2"/>
    <n v="396"/>
    <x v="22"/>
    <d v="2025-01-24T00:00:00"/>
    <s v="F"/>
    <x v="4"/>
    <x v="0"/>
    <x v="0"/>
    <x v="8"/>
    <n v="1"/>
    <x v="3"/>
    <x v="2"/>
  </r>
  <r>
    <s v="TX500541"/>
    <x v="8"/>
    <x v="27"/>
    <n v="19.5"/>
    <n v="312"/>
    <x v="22"/>
    <d v="2025-01-25T00:00:00"/>
    <s v="M"/>
    <x v="3"/>
    <x v="2"/>
    <x v="0"/>
    <x v="8"/>
    <n v="2"/>
    <x v="3"/>
    <x v="1"/>
  </r>
  <r>
    <s v="TX500542"/>
    <x v="8"/>
    <x v="12"/>
    <n v="18"/>
    <n v="72"/>
    <x v="22"/>
    <d v="2025-01-24T00:00:00"/>
    <s v="M"/>
    <x v="1"/>
    <x v="0"/>
    <x v="0"/>
    <x v="10"/>
    <n v="1"/>
    <x v="3"/>
    <x v="1"/>
  </r>
  <r>
    <s v="TX500543"/>
    <x v="9"/>
    <x v="2"/>
    <n v="45.9"/>
    <n v="137.69999999999999"/>
    <x v="22"/>
    <d v="2025-01-25T00:00:00"/>
    <s v="F"/>
    <x v="1"/>
    <x v="1"/>
    <x v="0"/>
    <x v="10"/>
    <n v="2"/>
    <x v="3"/>
    <x v="2"/>
  </r>
  <r>
    <s v="TX500544"/>
    <x v="11"/>
    <x v="0"/>
    <n v="41.2"/>
    <n v="41.2"/>
    <x v="22"/>
    <d v="2025-01-25T00:00:00"/>
    <s v="F"/>
    <x v="1"/>
    <x v="2"/>
    <x v="0"/>
    <x v="11"/>
    <n v="2"/>
    <x v="3"/>
    <x v="2"/>
  </r>
  <r>
    <s v="TX500545"/>
    <x v="2"/>
    <x v="7"/>
    <n v="167.2"/>
    <n v="1672"/>
    <x v="22"/>
    <d v="2025-01-25T00:00:00"/>
    <s v="F"/>
    <x v="2"/>
    <x v="2"/>
    <x v="0"/>
    <x v="32"/>
    <n v="2"/>
    <x v="3"/>
    <x v="2"/>
  </r>
  <r>
    <s v="TX500546"/>
    <x v="6"/>
    <x v="17"/>
    <n v="74.5"/>
    <n v="2235"/>
    <x v="23"/>
    <d v="2025-01-27T00:00:00"/>
    <s v="F"/>
    <x v="1"/>
    <x v="2"/>
    <x v="0"/>
    <x v="38"/>
    <n v="3"/>
    <x v="3"/>
    <x v="2"/>
  </r>
  <r>
    <s v="TX500547"/>
    <x v="7"/>
    <x v="12"/>
    <n v="39.299999999999997"/>
    <n v="157.19999999999999"/>
    <x v="23"/>
    <d v="2025-01-25T00:00:00"/>
    <s v=""/>
    <x v="2"/>
    <x v="0"/>
    <x v="0"/>
    <x v="19"/>
    <n v="1"/>
    <x v="3"/>
    <x v="0"/>
  </r>
  <r>
    <s v="TX500548"/>
    <x v="9"/>
    <x v="0"/>
    <n v="68.5"/>
    <n v="68.5"/>
    <x v="23"/>
    <d v="2025-01-27T00:00:00"/>
    <s v="M"/>
    <x v="1"/>
    <x v="2"/>
    <x v="0"/>
    <x v="12"/>
    <n v="3"/>
    <x v="3"/>
    <x v="1"/>
  </r>
  <r>
    <s v="TX500549"/>
    <x v="0"/>
    <x v="2"/>
    <n v="22.5"/>
    <n v="67.5"/>
    <x v="23"/>
    <d v="2025-01-24T00:00:00"/>
    <s v="F"/>
    <x v="4"/>
    <x v="0"/>
    <x v="0"/>
    <x v="13"/>
    <n v="0"/>
    <x v="3"/>
    <x v="2"/>
  </r>
  <r>
    <s v="TX500550"/>
    <x v="1"/>
    <x v="0"/>
    <n v="48"/>
    <n v="48"/>
    <x v="23"/>
    <d v="2025-01-25T00:00:00"/>
    <s v="O"/>
    <x v="4"/>
    <x v="1"/>
    <x v="0"/>
    <x v="46"/>
    <n v="1"/>
    <x v="3"/>
    <x v="3"/>
  </r>
  <r>
    <s v="TX500551"/>
    <x v="6"/>
    <x v="0"/>
    <n v="94"/>
    <n v="94"/>
    <x v="23"/>
    <d v="2025-01-25T00:00:00"/>
    <s v="M"/>
    <x v="3"/>
    <x v="1"/>
    <x v="0"/>
    <x v="1"/>
    <n v="1"/>
    <x v="3"/>
    <x v="1"/>
  </r>
  <r>
    <s v="TX500552"/>
    <x v="8"/>
    <x v="2"/>
    <n v="21.9"/>
    <n v="65.699999999999989"/>
    <x v="23"/>
    <d v="2025-01-25T00:00:00"/>
    <s v="F"/>
    <x v="0"/>
    <x v="0"/>
    <x v="0"/>
    <x v="44"/>
    <n v="1"/>
    <x v="3"/>
    <x v="2"/>
  </r>
  <r>
    <s v="TX500553"/>
    <x v="6"/>
    <x v="3"/>
    <n v="64.900000000000006"/>
    <n v="454.30000000000007"/>
    <x v="23"/>
    <d v="2025-01-25T00:00:00"/>
    <s v="F"/>
    <x v="0"/>
    <x v="0"/>
    <x v="0"/>
    <x v="3"/>
    <n v="1"/>
    <x v="3"/>
    <x v="2"/>
  </r>
  <r>
    <s v="TX500554"/>
    <x v="12"/>
    <x v="0"/>
    <n v="52.9"/>
    <n v="52.9"/>
    <x v="23"/>
    <d v="2025-01-24T00:00:00"/>
    <s v="F"/>
    <x v="1"/>
    <x v="1"/>
    <x v="0"/>
    <x v="3"/>
    <n v="0"/>
    <x v="3"/>
    <x v="2"/>
  </r>
  <r>
    <s v="TX500555"/>
    <x v="8"/>
    <x v="2"/>
    <n v="25.5"/>
    <n v="76.5"/>
    <x v="23"/>
    <d v="2025-01-25T00:00:00"/>
    <s v="F"/>
    <x v="1"/>
    <x v="2"/>
    <x v="0"/>
    <x v="3"/>
    <n v="1"/>
    <x v="3"/>
    <x v="2"/>
  </r>
  <r>
    <s v="TX500556"/>
    <x v="6"/>
    <x v="2"/>
    <n v="51.9"/>
    <n v="155.69999999999999"/>
    <x v="23"/>
    <d v="2025-01-25T00:00:00"/>
    <s v="F"/>
    <x v="3"/>
    <x v="0"/>
    <x v="0"/>
    <x v="3"/>
    <n v="1"/>
    <x v="3"/>
    <x v="2"/>
  </r>
  <r>
    <s v="TX500557"/>
    <x v="5"/>
    <x v="0"/>
    <n v="46.3"/>
    <n v="46.3"/>
    <x v="23"/>
    <d v="2025-01-27T00:00:00"/>
    <s v="F"/>
    <x v="4"/>
    <x v="0"/>
    <x v="0"/>
    <x v="3"/>
    <n v="3"/>
    <x v="3"/>
    <x v="2"/>
  </r>
  <r>
    <s v="TX500558"/>
    <x v="6"/>
    <x v="1"/>
    <n v="68.2"/>
    <n v="136.4"/>
    <x v="23"/>
    <d v="2025-01-26T00:00:00"/>
    <s v="F"/>
    <x v="3"/>
    <x v="0"/>
    <x v="0"/>
    <x v="3"/>
    <n v="2"/>
    <x v="3"/>
    <x v="2"/>
  </r>
  <r>
    <s v="TX500559"/>
    <x v="1"/>
    <x v="0"/>
    <n v="40.299999999999997"/>
    <n v="40.299999999999997"/>
    <x v="23"/>
    <d v="2025-01-25T00:00:00"/>
    <s v="M"/>
    <x v="0"/>
    <x v="1"/>
    <x v="0"/>
    <x v="3"/>
    <n v="1"/>
    <x v="3"/>
    <x v="1"/>
  </r>
  <r>
    <s v="TX500560"/>
    <x v="2"/>
    <x v="2"/>
    <n v="91.3"/>
    <n v="273.89999999999998"/>
    <x v="23"/>
    <d v="2025-01-29T00:00:00"/>
    <s v="M"/>
    <x v="0"/>
    <x v="2"/>
    <x v="0"/>
    <x v="6"/>
    <n v="5"/>
    <x v="3"/>
    <x v="1"/>
  </r>
  <r>
    <s v="TX500561"/>
    <x v="0"/>
    <x v="2"/>
    <n v="11.9"/>
    <n v="35.700000000000003"/>
    <x v="23"/>
    <d v="2025-01-25T00:00:00"/>
    <s v="F"/>
    <x v="0"/>
    <x v="1"/>
    <x v="0"/>
    <x v="6"/>
    <n v="1"/>
    <x v="3"/>
    <x v="2"/>
  </r>
  <r>
    <s v="TX500562"/>
    <x v="2"/>
    <x v="1"/>
    <n v="63.5"/>
    <n v="127"/>
    <x v="23"/>
    <d v="2025-01-26T00:00:00"/>
    <s v="M"/>
    <x v="1"/>
    <x v="0"/>
    <x v="0"/>
    <x v="6"/>
    <n v="2"/>
    <x v="3"/>
    <x v="1"/>
  </r>
  <r>
    <s v="TX500563"/>
    <x v="4"/>
    <x v="1"/>
    <n v="27.1"/>
    <n v="54.2"/>
    <x v="23"/>
    <d v="2025-01-27T00:00:00"/>
    <s v="M"/>
    <x v="2"/>
    <x v="2"/>
    <x v="0"/>
    <x v="6"/>
    <n v="3"/>
    <x v="3"/>
    <x v="1"/>
  </r>
  <r>
    <s v="TX500564"/>
    <x v="1"/>
    <x v="1"/>
    <n v="82.1"/>
    <n v="164.2"/>
    <x v="24"/>
    <d v="2025-01-28T00:00:00"/>
    <s v="M"/>
    <x v="1"/>
    <x v="1"/>
    <x v="0"/>
    <x v="7"/>
    <n v="3"/>
    <x v="3"/>
    <x v="1"/>
  </r>
  <r>
    <s v="TX500565"/>
    <x v="3"/>
    <x v="9"/>
    <n v="42.9"/>
    <n v="214.5"/>
    <x v="24"/>
    <d v="2025-01-27T00:00:00"/>
    <s v="F"/>
    <x v="1"/>
    <x v="0"/>
    <x v="0"/>
    <x v="8"/>
    <n v="2"/>
    <x v="3"/>
    <x v="2"/>
  </r>
  <r>
    <s v="TX500566"/>
    <x v="8"/>
    <x v="5"/>
    <n v="37.9"/>
    <n v="416.9"/>
    <x v="24"/>
    <d v="2025-02-01T00:00:00"/>
    <s v="M"/>
    <x v="0"/>
    <x v="0"/>
    <x v="0"/>
    <x v="8"/>
    <n v="7"/>
    <x v="3"/>
    <x v="1"/>
  </r>
  <r>
    <s v="TX500567"/>
    <x v="0"/>
    <x v="0"/>
    <n v="22.4"/>
    <n v="22.4"/>
    <x v="24"/>
    <d v="2025-01-26T00:00:00"/>
    <s v="F"/>
    <x v="0"/>
    <x v="1"/>
    <x v="0"/>
    <x v="17"/>
    <n v="1"/>
    <x v="3"/>
    <x v="2"/>
  </r>
  <r>
    <s v="TX500568"/>
    <x v="2"/>
    <x v="15"/>
    <n v="79.900000000000006"/>
    <n v="1038.7"/>
    <x v="24"/>
    <d v="2025-02-07T00:00:00"/>
    <s v="F"/>
    <x v="3"/>
    <x v="1"/>
    <x v="0"/>
    <x v="11"/>
    <n v="13"/>
    <x v="3"/>
    <x v="2"/>
  </r>
  <r>
    <s v="TX500569"/>
    <x v="1"/>
    <x v="0"/>
    <n v="70.599999999999994"/>
    <n v="70.599999999999994"/>
    <x v="24"/>
    <d v="2025-01-28T00:00:00"/>
    <s v="F"/>
    <x v="0"/>
    <x v="1"/>
    <x v="0"/>
    <x v="11"/>
    <n v="3"/>
    <x v="3"/>
    <x v="2"/>
  </r>
  <r>
    <s v="TX500570"/>
    <x v="6"/>
    <x v="0"/>
    <n v="49.5"/>
    <n v="49.5"/>
    <x v="24"/>
    <d v="2025-01-27T00:00:00"/>
    <s v="M"/>
    <x v="0"/>
    <x v="0"/>
    <x v="0"/>
    <x v="13"/>
    <n v="2"/>
    <x v="3"/>
    <x v="1"/>
  </r>
  <r>
    <s v="TX500571"/>
    <x v="2"/>
    <x v="1"/>
    <n v="96.6"/>
    <n v="193.2"/>
    <x v="24"/>
    <d v="2025-01-27T00:00:00"/>
    <s v="M"/>
    <x v="0"/>
    <x v="0"/>
    <x v="0"/>
    <x v="21"/>
    <n v="2"/>
    <x v="3"/>
    <x v="1"/>
  </r>
  <r>
    <s v="TX500572"/>
    <x v="6"/>
    <x v="1"/>
    <n v="52.8"/>
    <n v="105.6"/>
    <x v="24"/>
    <d v="2025-01-26T00:00:00"/>
    <s v="F"/>
    <x v="1"/>
    <x v="1"/>
    <x v="0"/>
    <x v="21"/>
    <n v="1"/>
    <x v="3"/>
    <x v="2"/>
  </r>
  <r>
    <s v="TX500573"/>
    <x v="2"/>
    <x v="0"/>
    <n v="101.7"/>
    <n v="101.7"/>
    <x v="24"/>
    <d v="2025-01-26T00:00:00"/>
    <s v="M"/>
    <x v="0"/>
    <x v="0"/>
    <x v="0"/>
    <x v="1"/>
    <n v="1"/>
    <x v="3"/>
    <x v="1"/>
  </r>
  <r>
    <s v="TX500574"/>
    <x v="4"/>
    <x v="9"/>
    <n v="26.9"/>
    <n v="134.5"/>
    <x v="24"/>
    <d v="2025-01-30T00:00:00"/>
    <s v="F"/>
    <x v="1"/>
    <x v="1"/>
    <x v="0"/>
    <x v="22"/>
    <n v="5"/>
    <x v="3"/>
    <x v="2"/>
  </r>
  <r>
    <s v="TX500575"/>
    <x v="2"/>
    <x v="12"/>
    <n v="211"/>
    <n v="844"/>
    <x v="24"/>
    <d v="2025-01-25T00:00:00"/>
    <s v="F"/>
    <x v="1"/>
    <x v="1"/>
    <x v="0"/>
    <x v="3"/>
    <n v="0"/>
    <x v="3"/>
    <x v="2"/>
  </r>
  <r>
    <s v="TX500576"/>
    <x v="0"/>
    <x v="12"/>
    <n v="21.1"/>
    <n v="84.4"/>
    <x v="24"/>
    <d v="2025-01-28T00:00:00"/>
    <s v="M"/>
    <x v="4"/>
    <x v="0"/>
    <x v="0"/>
    <x v="3"/>
    <n v="3"/>
    <x v="3"/>
    <x v="1"/>
  </r>
  <r>
    <s v="TX500577"/>
    <x v="10"/>
    <x v="0"/>
    <n v="26.6"/>
    <n v="26.6"/>
    <x v="24"/>
    <d v="2025-01-27T00:00:00"/>
    <s v="M"/>
    <x v="0"/>
    <x v="4"/>
    <x v="0"/>
    <x v="3"/>
    <n v="2"/>
    <x v="3"/>
    <x v="1"/>
  </r>
  <r>
    <s v="TX500578"/>
    <x v="12"/>
    <x v="12"/>
    <n v="51.2"/>
    <n v="204.8"/>
    <x v="24"/>
    <d v="2025-01-26T00:00:00"/>
    <s v="F"/>
    <x v="3"/>
    <x v="0"/>
    <x v="0"/>
    <x v="47"/>
    <n v="1"/>
    <x v="3"/>
    <x v="2"/>
  </r>
  <r>
    <s v="TX500579"/>
    <x v="0"/>
    <x v="9"/>
    <n v="10.6"/>
    <n v="53"/>
    <x v="24"/>
    <d v="2025-01-29T00:00:00"/>
    <s v="F"/>
    <x v="0"/>
    <x v="0"/>
    <x v="0"/>
    <x v="8"/>
    <n v="4"/>
    <x v="3"/>
    <x v="2"/>
  </r>
  <r>
    <s v="TX500580"/>
    <x v="6"/>
    <x v="2"/>
    <n v="43.4"/>
    <n v="130.19999999999999"/>
    <x v="24"/>
    <d v="2025-01-28T00:00:00"/>
    <s v="F"/>
    <x v="4"/>
    <x v="0"/>
    <x v="0"/>
    <x v="8"/>
    <n v="3"/>
    <x v="3"/>
    <x v="2"/>
  </r>
  <r>
    <s v="TX500581"/>
    <x v="12"/>
    <x v="0"/>
    <n v="80"/>
    <n v="80"/>
    <x v="24"/>
    <d v="2025-01-25T00:00:00"/>
    <s v="F"/>
    <x v="0"/>
    <x v="2"/>
    <x v="0"/>
    <x v="8"/>
    <n v="0"/>
    <x v="3"/>
    <x v="2"/>
  </r>
  <r>
    <s v="TX500582"/>
    <x v="10"/>
    <x v="12"/>
    <n v="64.7"/>
    <n v="258.8"/>
    <x v="24"/>
    <d v="2025-01-27T00:00:00"/>
    <s v="F"/>
    <x v="1"/>
    <x v="4"/>
    <x v="0"/>
    <x v="8"/>
    <n v="2"/>
    <x v="3"/>
    <x v="2"/>
  </r>
  <r>
    <s v="TX500583"/>
    <x v="8"/>
    <x v="5"/>
    <n v="26.3"/>
    <n v="289.3"/>
    <x v="25"/>
    <d v="2025-01-26T00:00:00"/>
    <s v="F"/>
    <x v="4"/>
    <x v="1"/>
    <x v="0"/>
    <x v="26"/>
    <n v="0"/>
    <x v="4"/>
    <x v="2"/>
  </r>
  <r>
    <s v="TX500584"/>
    <x v="10"/>
    <x v="0"/>
    <n v="28.5"/>
    <n v="28.5"/>
    <x v="25"/>
    <d v="2025-01-26T00:00:00"/>
    <s v="M"/>
    <x v="0"/>
    <x v="1"/>
    <x v="0"/>
    <x v="9"/>
    <n v="0"/>
    <x v="4"/>
    <x v="1"/>
  </r>
  <r>
    <s v="TX500585"/>
    <x v="17"/>
    <x v="0"/>
    <n v="47.8"/>
    <n v="47.8"/>
    <x v="25"/>
    <d v="2025-01-28T00:00:00"/>
    <s v="F"/>
    <x v="0"/>
    <x v="1"/>
    <x v="0"/>
    <x v="9"/>
    <n v="2"/>
    <x v="4"/>
    <x v="2"/>
  </r>
  <r>
    <s v="TX500586"/>
    <x v="10"/>
    <x v="2"/>
    <n v="42.8"/>
    <n v="128.39999999999998"/>
    <x v="25"/>
    <d v="2025-01-29T00:00:00"/>
    <s v="F"/>
    <x v="4"/>
    <x v="1"/>
    <x v="0"/>
    <x v="11"/>
    <n v="3"/>
    <x v="4"/>
    <x v="2"/>
  </r>
  <r>
    <s v="TX500587"/>
    <x v="6"/>
    <x v="9"/>
    <n v="46.8"/>
    <n v="234"/>
    <x v="25"/>
    <d v="2025-01-31T00:00:00"/>
    <s v="F"/>
    <x v="1"/>
    <x v="2"/>
    <x v="0"/>
    <x v="11"/>
    <n v="5"/>
    <x v="4"/>
    <x v="2"/>
  </r>
  <r>
    <s v="TX500588"/>
    <x v="1"/>
    <x v="7"/>
    <n v="64.099999999999994"/>
    <n v="641"/>
    <x v="25"/>
    <d v="2025-01-27T00:00:00"/>
    <s v="M"/>
    <x v="1"/>
    <x v="0"/>
    <x v="0"/>
    <x v="11"/>
    <n v="1"/>
    <x v="4"/>
    <x v="1"/>
  </r>
  <r>
    <s v="TX500589"/>
    <x v="2"/>
    <x v="0"/>
    <n v="89.1"/>
    <n v="89.1"/>
    <x v="25"/>
    <d v="2025-01-27T00:00:00"/>
    <s v="F"/>
    <x v="0"/>
    <x v="1"/>
    <x v="0"/>
    <x v="20"/>
    <n v="1"/>
    <x v="4"/>
    <x v="2"/>
  </r>
  <r>
    <s v="TX500590"/>
    <x v="2"/>
    <x v="2"/>
    <n v="83.1"/>
    <n v="249.29999999999998"/>
    <x v="25"/>
    <d v="2025-01-27T00:00:00"/>
    <s v="F"/>
    <x v="2"/>
    <x v="1"/>
    <x v="0"/>
    <x v="13"/>
    <n v="1"/>
    <x v="4"/>
    <x v="2"/>
  </r>
  <r>
    <s v="TX500591"/>
    <x v="8"/>
    <x v="2"/>
    <n v="40.9"/>
    <n v="122.69999999999999"/>
    <x v="25"/>
    <d v="2025-01-27T00:00:00"/>
    <s v="M"/>
    <x v="0"/>
    <x v="0"/>
    <x v="0"/>
    <x v="1"/>
    <n v="1"/>
    <x v="4"/>
    <x v="1"/>
  </r>
  <r>
    <s v="TX500592"/>
    <x v="2"/>
    <x v="1"/>
    <n v="125.7"/>
    <n v="251.4"/>
    <x v="25"/>
    <d v="2025-01-27T00:00:00"/>
    <s v="F"/>
    <x v="3"/>
    <x v="0"/>
    <x v="0"/>
    <x v="2"/>
    <n v="1"/>
    <x v="4"/>
    <x v="2"/>
  </r>
  <r>
    <s v="TX500593"/>
    <x v="3"/>
    <x v="1"/>
    <n v="30.9"/>
    <n v="61.8"/>
    <x v="25"/>
    <d v="2025-01-26T00:00:00"/>
    <s v="F"/>
    <x v="2"/>
    <x v="2"/>
    <x v="0"/>
    <x v="22"/>
    <n v="0"/>
    <x v="4"/>
    <x v="2"/>
  </r>
  <r>
    <s v="TX500594"/>
    <x v="8"/>
    <x v="1"/>
    <n v="18.3"/>
    <n v="36.6"/>
    <x v="25"/>
    <d v="2025-01-27T00:00:00"/>
    <s v="F"/>
    <x v="1"/>
    <x v="0"/>
    <x v="0"/>
    <x v="3"/>
    <n v="1"/>
    <x v="4"/>
    <x v="2"/>
  </r>
  <r>
    <s v="TX500595"/>
    <x v="4"/>
    <x v="1"/>
    <n v="56.5"/>
    <n v="113"/>
    <x v="25"/>
    <d v="2025-01-30T00:00:00"/>
    <s v="M"/>
    <x v="2"/>
    <x v="2"/>
    <x v="0"/>
    <x v="3"/>
    <n v="4"/>
    <x v="4"/>
    <x v="1"/>
  </r>
  <r>
    <s v="TX500596"/>
    <x v="10"/>
    <x v="3"/>
    <n v="29.9"/>
    <n v="209.29999999999998"/>
    <x v="25"/>
    <d v="2025-01-28T00:00:00"/>
    <s v="M"/>
    <x v="4"/>
    <x v="2"/>
    <x v="0"/>
    <x v="3"/>
    <n v="2"/>
    <x v="4"/>
    <x v="1"/>
  </r>
  <r>
    <s v="TX500597"/>
    <x v="5"/>
    <x v="1"/>
    <n v="50.4"/>
    <n v="100.8"/>
    <x v="25"/>
    <d v="2025-01-27T00:00:00"/>
    <s v="F"/>
    <x v="2"/>
    <x v="0"/>
    <x v="0"/>
    <x v="3"/>
    <n v="1"/>
    <x v="4"/>
    <x v="2"/>
  </r>
  <r>
    <s v="TX500598"/>
    <x v="2"/>
    <x v="0"/>
    <n v="85.8"/>
    <n v="85.8"/>
    <x v="25"/>
    <d v="2025-01-26T00:00:00"/>
    <s v="F"/>
    <x v="2"/>
    <x v="2"/>
    <x v="0"/>
    <x v="3"/>
    <n v="0"/>
    <x v="4"/>
    <x v="2"/>
  </r>
  <r>
    <s v="TX500599"/>
    <x v="4"/>
    <x v="27"/>
    <n v="66.599999999999994"/>
    <n v="1065.5999999999999"/>
    <x v="25"/>
    <d v="2025-01-28T00:00:00"/>
    <s v="M"/>
    <x v="1"/>
    <x v="0"/>
    <x v="0"/>
    <x v="3"/>
    <n v="2"/>
    <x v="4"/>
    <x v="1"/>
  </r>
  <r>
    <s v="TX500600"/>
    <x v="6"/>
    <x v="12"/>
    <n v="70.3"/>
    <n v="281.2"/>
    <x v="25"/>
    <d v="2025-01-27T00:00:00"/>
    <s v="F"/>
    <x v="0"/>
    <x v="1"/>
    <x v="0"/>
    <x v="3"/>
    <n v="1"/>
    <x v="4"/>
    <x v="2"/>
  </r>
  <r>
    <s v="TX500601"/>
    <x v="8"/>
    <x v="12"/>
    <n v="31"/>
    <n v="124"/>
    <x v="25"/>
    <d v="2025-01-29T00:00:00"/>
    <s v="M"/>
    <x v="0"/>
    <x v="2"/>
    <x v="0"/>
    <x v="3"/>
    <n v="3"/>
    <x v="4"/>
    <x v="1"/>
  </r>
  <r>
    <s v="TX500602"/>
    <x v="7"/>
    <x v="13"/>
    <n v="81.599999999999994"/>
    <n v="489.59999999999997"/>
    <x v="25"/>
    <d v="2025-01-27T00:00:00"/>
    <s v="F"/>
    <x v="1"/>
    <x v="1"/>
    <x v="0"/>
    <x v="37"/>
    <n v="1"/>
    <x v="4"/>
    <x v="2"/>
  </r>
  <r>
    <s v="TX500603"/>
    <x v="1"/>
    <x v="30"/>
    <n v="58.3"/>
    <n v="1457.5"/>
    <x v="25"/>
    <d v="2025-01-27T00:00:00"/>
    <s v="F"/>
    <x v="0"/>
    <x v="0"/>
    <x v="0"/>
    <x v="16"/>
    <n v="1"/>
    <x v="4"/>
    <x v="2"/>
  </r>
  <r>
    <s v="TX500604"/>
    <x v="1"/>
    <x v="12"/>
    <n v="35.1"/>
    <n v="140.4"/>
    <x v="25"/>
    <d v="2025-01-28T00:00:00"/>
    <s v="M"/>
    <x v="0"/>
    <x v="2"/>
    <x v="0"/>
    <x v="8"/>
    <n v="2"/>
    <x v="4"/>
    <x v="1"/>
  </r>
  <r>
    <s v="TX500605"/>
    <x v="2"/>
    <x v="0"/>
    <n v="80.2"/>
    <n v="80.2"/>
    <x v="25"/>
    <d v="2025-01-27T00:00:00"/>
    <s v="M"/>
    <x v="3"/>
    <x v="2"/>
    <x v="0"/>
    <x v="8"/>
    <n v="1"/>
    <x v="4"/>
    <x v="1"/>
  </r>
  <r>
    <s v="TX500606"/>
    <x v="14"/>
    <x v="2"/>
    <n v="39.200000000000003"/>
    <n v="117.60000000000001"/>
    <x v="25"/>
    <d v="2025-01-28T00:00:00"/>
    <s v="F"/>
    <x v="1"/>
    <x v="0"/>
    <x v="0"/>
    <x v="9"/>
    <n v="2"/>
    <x v="4"/>
    <x v="2"/>
  </r>
  <r>
    <s v="TX500607"/>
    <x v="0"/>
    <x v="1"/>
    <n v="15.4"/>
    <n v="30.8"/>
    <x v="25"/>
    <d v="2025-01-26T00:00:00"/>
    <s v="F"/>
    <x v="3"/>
    <x v="0"/>
    <x v="0"/>
    <x v="48"/>
    <n v="0"/>
    <x v="4"/>
    <x v="2"/>
  </r>
  <r>
    <s v="TX500608"/>
    <x v="3"/>
    <x v="2"/>
    <n v="65.400000000000006"/>
    <n v="196.20000000000002"/>
    <x v="25"/>
    <d v="2025-01-29T00:00:00"/>
    <s v="M"/>
    <x v="3"/>
    <x v="0"/>
    <x v="0"/>
    <x v="18"/>
    <n v="3"/>
    <x v="4"/>
    <x v="1"/>
  </r>
  <r>
    <s v="TX500609"/>
    <x v="1"/>
    <x v="8"/>
    <n v="63.2"/>
    <n v="505.6"/>
    <x v="25"/>
    <d v="2025-01-28T00:00:00"/>
    <s v="F"/>
    <x v="1"/>
    <x v="0"/>
    <x v="0"/>
    <x v="19"/>
    <n v="2"/>
    <x v="4"/>
    <x v="2"/>
  </r>
  <r>
    <s v="TX500610"/>
    <x v="1"/>
    <x v="13"/>
    <n v="35.700000000000003"/>
    <n v="214.20000000000002"/>
    <x v="25"/>
    <d v="2025-01-30T00:00:00"/>
    <s v="F"/>
    <x v="4"/>
    <x v="1"/>
    <x v="0"/>
    <x v="19"/>
    <n v="4"/>
    <x v="4"/>
    <x v="2"/>
  </r>
  <r>
    <s v="TX500611"/>
    <x v="0"/>
    <x v="28"/>
    <n v="26.2"/>
    <n v="524"/>
    <x v="25"/>
    <d v="2025-01-27T00:00:00"/>
    <s v="F"/>
    <x v="3"/>
    <x v="0"/>
    <x v="0"/>
    <x v="21"/>
    <n v="1"/>
    <x v="4"/>
    <x v="2"/>
  </r>
  <r>
    <s v="TX500612"/>
    <x v="7"/>
    <x v="1"/>
    <n v="31"/>
    <n v="62"/>
    <x v="25"/>
    <d v="2025-01-27T00:00:00"/>
    <s v="F"/>
    <x v="0"/>
    <x v="2"/>
    <x v="0"/>
    <x v="1"/>
    <n v="1"/>
    <x v="4"/>
    <x v="2"/>
  </r>
  <r>
    <s v="TX500613"/>
    <x v="8"/>
    <x v="12"/>
    <n v="37.700000000000003"/>
    <n v="150.80000000000001"/>
    <x v="25"/>
    <d v="2025-01-27T00:00:00"/>
    <s v="F"/>
    <x v="1"/>
    <x v="0"/>
    <x v="0"/>
    <x v="22"/>
    <n v="1"/>
    <x v="4"/>
    <x v="2"/>
  </r>
  <r>
    <s v="TX500614"/>
    <x v="10"/>
    <x v="33"/>
    <n v="43.6"/>
    <n v="1482.4"/>
    <x v="25"/>
    <d v="2025-01-28T00:00:00"/>
    <s v="F"/>
    <x v="4"/>
    <x v="1"/>
    <x v="0"/>
    <x v="3"/>
    <n v="2"/>
    <x v="4"/>
    <x v="2"/>
  </r>
  <r>
    <s v="TX500615"/>
    <x v="9"/>
    <x v="12"/>
    <n v="26.5"/>
    <n v="106"/>
    <x v="25"/>
    <d v="2025-01-28T00:00:00"/>
    <s v="M"/>
    <x v="0"/>
    <x v="4"/>
    <x v="0"/>
    <x v="3"/>
    <n v="2"/>
    <x v="4"/>
    <x v="1"/>
  </r>
  <r>
    <s v="TX500616"/>
    <x v="0"/>
    <x v="1"/>
    <n v="34.6"/>
    <n v="69.2"/>
    <x v="25"/>
    <d v="2025-01-27T00:00:00"/>
    <s v="M"/>
    <x v="4"/>
    <x v="1"/>
    <x v="0"/>
    <x v="3"/>
    <n v="1"/>
    <x v="4"/>
    <x v="1"/>
  </r>
  <r>
    <s v="TX500617"/>
    <x v="8"/>
    <x v="1"/>
    <n v="58.2"/>
    <n v="116.4"/>
    <x v="25"/>
    <d v="2025-01-27T00:00:00"/>
    <s v="M"/>
    <x v="2"/>
    <x v="2"/>
    <x v="0"/>
    <x v="3"/>
    <n v="1"/>
    <x v="4"/>
    <x v="1"/>
  </r>
  <r>
    <s v="TX500618"/>
    <x v="7"/>
    <x v="0"/>
    <n v="30.2"/>
    <n v="30.2"/>
    <x v="26"/>
    <d v="2025-01-28T00:00:00"/>
    <s v="F"/>
    <x v="2"/>
    <x v="1"/>
    <x v="0"/>
    <x v="3"/>
    <n v="1"/>
    <x v="4"/>
    <x v="2"/>
  </r>
  <r>
    <s v="TX500619"/>
    <x v="1"/>
    <x v="7"/>
    <n v="53.2"/>
    <n v="532"/>
    <x v="26"/>
    <d v="2025-01-28T00:00:00"/>
    <s v="M"/>
    <x v="0"/>
    <x v="2"/>
    <x v="0"/>
    <x v="5"/>
    <n v="1"/>
    <x v="4"/>
    <x v="1"/>
  </r>
  <r>
    <s v="TX500620"/>
    <x v="12"/>
    <x v="13"/>
    <n v="51.1"/>
    <n v="306.60000000000002"/>
    <x v="26"/>
    <d v="2025-01-27T00:00:00"/>
    <s v="M"/>
    <x v="1"/>
    <x v="2"/>
    <x v="0"/>
    <x v="5"/>
    <n v="0"/>
    <x v="4"/>
    <x v="1"/>
  </r>
  <r>
    <s v="TX500621"/>
    <x v="1"/>
    <x v="0"/>
    <n v="105.4"/>
    <n v="105.4"/>
    <x v="26"/>
    <d v="2025-01-31T00:00:00"/>
    <s v="F"/>
    <x v="1"/>
    <x v="2"/>
    <x v="0"/>
    <x v="23"/>
    <n v="4"/>
    <x v="4"/>
    <x v="2"/>
  </r>
  <r>
    <s v="TX500622"/>
    <x v="7"/>
    <x v="0"/>
    <n v="57.7"/>
    <n v="57.7"/>
    <x v="26"/>
    <d v="2025-01-27T00:00:00"/>
    <s v="M"/>
    <x v="0"/>
    <x v="4"/>
    <x v="0"/>
    <x v="8"/>
    <n v="0"/>
    <x v="4"/>
    <x v="1"/>
  </r>
  <r>
    <s v="TX500623"/>
    <x v="15"/>
    <x v="1"/>
    <n v="72.400000000000006"/>
    <n v="144.80000000000001"/>
    <x v="26"/>
    <d v="2025-02-01T00:00:00"/>
    <s v="F"/>
    <x v="0"/>
    <x v="0"/>
    <x v="0"/>
    <x v="17"/>
    <n v="5"/>
    <x v="4"/>
    <x v="2"/>
  </r>
  <r>
    <s v="TX500624"/>
    <x v="6"/>
    <x v="1"/>
    <n v="62.5"/>
    <n v="125"/>
    <x v="26"/>
    <d v="2025-01-28T00:00:00"/>
    <s v=""/>
    <x v="0"/>
    <x v="2"/>
    <x v="0"/>
    <x v="11"/>
    <n v="1"/>
    <x v="4"/>
    <x v="0"/>
  </r>
  <r>
    <s v="TX500625"/>
    <x v="0"/>
    <x v="32"/>
    <n v="11.6"/>
    <n v="255.2"/>
    <x v="26"/>
    <d v="2025-01-29T00:00:00"/>
    <s v="F"/>
    <x v="3"/>
    <x v="2"/>
    <x v="0"/>
    <x v="18"/>
    <n v="2"/>
    <x v="4"/>
    <x v="2"/>
  </r>
  <r>
    <s v="TX500626"/>
    <x v="10"/>
    <x v="7"/>
    <n v="39.6"/>
    <n v="396"/>
    <x v="26"/>
    <d v="2025-01-29T00:00:00"/>
    <s v="F"/>
    <x v="2"/>
    <x v="2"/>
    <x v="0"/>
    <x v="18"/>
    <n v="2"/>
    <x v="4"/>
    <x v="2"/>
  </r>
  <r>
    <s v="TX500627"/>
    <x v="8"/>
    <x v="1"/>
    <n v="40.1"/>
    <n v="80.2"/>
    <x v="26"/>
    <d v="2025-01-28T00:00:00"/>
    <s v="F"/>
    <x v="2"/>
    <x v="0"/>
    <x v="0"/>
    <x v="18"/>
    <n v="1"/>
    <x v="4"/>
    <x v="2"/>
  </r>
  <r>
    <s v="TX500628"/>
    <x v="8"/>
    <x v="2"/>
    <n v="18.600000000000001"/>
    <n v="55.800000000000004"/>
    <x v="26"/>
    <d v="2025-01-28T00:00:00"/>
    <s v="F"/>
    <x v="2"/>
    <x v="0"/>
    <x v="0"/>
    <x v="21"/>
    <n v="1"/>
    <x v="4"/>
    <x v="2"/>
  </r>
  <r>
    <s v="TX500629"/>
    <x v="4"/>
    <x v="0"/>
    <n v="58.8"/>
    <n v="58.8"/>
    <x v="26"/>
    <d v="2025-01-29T00:00:00"/>
    <s v="F"/>
    <x v="0"/>
    <x v="1"/>
    <x v="0"/>
    <x v="21"/>
    <n v="2"/>
    <x v="4"/>
    <x v="2"/>
  </r>
  <r>
    <s v="TX500630"/>
    <x v="8"/>
    <x v="1"/>
    <n v="22.1"/>
    <n v="44.2"/>
    <x v="26"/>
    <d v="2025-01-30T00:00:00"/>
    <s v="M"/>
    <x v="1"/>
    <x v="2"/>
    <x v="0"/>
    <x v="21"/>
    <n v="3"/>
    <x v="4"/>
    <x v="1"/>
  </r>
  <r>
    <s v="TX500631"/>
    <x v="2"/>
    <x v="0"/>
    <n v="114.9"/>
    <n v="114.9"/>
    <x v="27"/>
    <d v="2025-01-29T00:00:00"/>
    <s v="F"/>
    <x v="1"/>
    <x v="1"/>
    <x v="0"/>
    <x v="22"/>
    <n v="1"/>
    <x v="4"/>
    <x v="2"/>
  </r>
  <r>
    <s v="TX500632"/>
    <x v="9"/>
    <x v="9"/>
    <n v="75.8"/>
    <n v="379"/>
    <x v="27"/>
    <d v="2025-01-29T00:00:00"/>
    <s v="M"/>
    <x v="0"/>
    <x v="2"/>
    <x v="0"/>
    <x v="3"/>
    <n v="1"/>
    <x v="4"/>
    <x v="1"/>
  </r>
  <r>
    <s v="TX500633"/>
    <x v="14"/>
    <x v="9"/>
    <n v="20.6"/>
    <n v="103"/>
    <x v="27"/>
    <d v="2025-01-29T00:00:00"/>
    <s v="M"/>
    <x v="2"/>
    <x v="2"/>
    <x v="0"/>
    <x v="3"/>
    <n v="1"/>
    <x v="4"/>
    <x v="1"/>
  </r>
  <r>
    <s v="TX500634"/>
    <x v="17"/>
    <x v="2"/>
    <n v="67.900000000000006"/>
    <n v="203.70000000000002"/>
    <x v="27"/>
    <d v="2025-01-29T00:00:00"/>
    <s v="F"/>
    <x v="1"/>
    <x v="1"/>
    <x v="0"/>
    <x v="3"/>
    <n v="1"/>
    <x v="4"/>
    <x v="2"/>
  </r>
  <r>
    <s v="TX500635"/>
    <x v="0"/>
    <x v="9"/>
    <n v="27"/>
    <n v="135"/>
    <x v="27"/>
    <d v="2025-02-04T00:00:00"/>
    <s v="F"/>
    <x v="0"/>
    <x v="2"/>
    <x v="0"/>
    <x v="3"/>
    <n v="7"/>
    <x v="4"/>
    <x v="2"/>
  </r>
  <r>
    <s v="TX500636"/>
    <x v="13"/>
    <x v="0"/>
    <n v="50.6"/>
    <n v="50.6"/>
    <x v="27"/>
    <d v="2025-01-28T00:00:00"/>
    <s v="M"/>
    <x v="0"/>
    <x v="1"/>
    <x v="0"/>
    <x v="3"/>
    <n v="0"/>
    <x v="4"/>
    <x v="1"/>
  </r>
  <r>
    <s v="TX500637"/>
    <x v="4"/>
    <x v="9"/>
    <n v="22.1"/>
    <n v="110.5"/>
    <x v="27"/>
    <d v="2025-02-02T00:00:00"/>
    <s v="M"/>
    <x v="0"/>
    <x v="0"/>
    <x v="0"/>
    <x v="3"/>
    <n v="5"/>
    <x v="4"/>
    <x v="1"/>
  </r>
  <r>
    <s v="TX500638"/>
    <x v="8"/>
    <x v="2"/>
    <n v="42.9"/>
    <n v="128.69999999999999"/>
    <x v="27"/>
    <d v="2025-01-30T00:00:00"/>
    <s v="F"/>
    <x v="0"/>
    <x v="0"/>
    <x v="0"/>
    <x v="3"/>
    <n v="2"/>
    <x v="4"/>
    <x v="2"/>
  </r>
  <r>
    <s v="TX500639"/>
    <x v="1"/>
    <x v="5"/>
    <n v="62.4"/>
    <n v="686.4"/>
    <x v="27"/>
    <d v="2025-01-30T00:00:00"/>
    <s v="F"/>
    <x v="2"/>
    <x v="0"/>
    <x v="0"/>
    <x v="3"/>
    <n v="2"/>
    <x v="4"/>
    <x v="2"/>
  </r>
  <r>
    <s v="TX500640"/>
    <x v="13"/>
    <x v="11"/>
    <n v="36.4"/>
    <n v="327.59999999999997"/>
    <x v="27"/>
    <d v="2025-01-30T00:00:00"/>
    <s v="F"/>
    <x v="0"/>
    <x v="2"/>
    <x v="0"/>
    <x v="3"/>
    <n v="2"/>
    <x v="4"/>
    <x v="2"/>
  </r>
  <r>
    <s v="TX500641"/>
    <x v="0"/>
    <x v="1"/>
    <n v="22.5"/>
    <n v="45"/>
    <x v="27"/>
    <d v="2025-01-31T00:00:00"/>
    <s v="M"/>
    <x v="0"/>
    <x v="0"/>
    <x v="0"/>
    <x v="3"/>
    <n v="3"/>
    <x v="4"/>
    <x v="1"/>
  </r>
  <r>
    <s v="TX500642"/>
    <x v="6"/>
    <x v="12"/>
    <n v="70.8"/>
    <n v="283.2"/>
    <x v="27"/>
    <d v="2025-01-30T00:00:00"/>
    <s v="F"/>
    <x v="4"/>
    <x v="0"/>
    <x v="0"/>
    <x v="3"/>
    <n v="2"/>
    <x v="4"/>
    <x v="2"/>
  </r>
  <r>
    <s v="TX500643"/>
    <x v="6"/>
    <x v="9"/>
    <n v="56.6"/>
    <n v="283"/>
    <x v="27"/>
    <d v="2025-01-30T00:00:00"/>
    <s v="M"/>
    <x v="0"/>
    <x v="1"/>
    <x v="0"/>
    <x v="4"/>
    <n v="2"/>
    <x v="4"/>
    <x v="1"/>
  </r>
  <r>
    <s v="TX500644"/>
    <x v="6"/>
    <x v="1"/>
    <n v="47.9"/>
    <n v="95.8"/>
    <x v="27"/>
    <d v="2025-01-29T00:00:00"/>
    <s v="F"/>
    <x v="0"/>
    <x v="0"/>
    <x v="0"/>
    <x v="6"/>
    <n v="1"/>
    <x v="4"/>
    <x v="2"/>
  </r>
  <r>
    <s v="TX500645"/>
    <x v="6"/>
    <x v="8"/>
    <n v="78.400000000000006"/>
    <n v="627.20000000000005"/>
    <x v="27"/>
    <d v="2025-01-30T00:00:00"/>
    <s v="F"/>
    <x v="1"/>
    <x v="0"/>
    <x v="0"/>
    <x v="6"/>
    <n v="2"/>
    <x v="4"/>
    <x v="2"/>
  </r>
  <r>
    <s v="TX500646"/>
    <x v="2"/>
    <x v="21"/>
    <n v="122.1"/>
    <n v="1709.3999999999999"/>
    <x v="27"/>
    <d v="2025-02-02T00:00:00"/>
    <s v="F"/>
    <x v="0"/>
    <x v="2"/>
    <x v="0"/>
    <x v="6"/>
    <n v="5"/>
    <x v="4"/>
    <x v="2"/>
  </r>
  <r>
    <s v="TX500647"/>
    <x v="2"/>
    <x v="1"/>
    <n v="83.7"/>
    <n v="167.4"/>
    <x v="28"/>
    <d v="2025-01-29T00:00:00"/>
    <s v=""/>
    <x v="1"/>
    <x v="2"/>
    <x v="0"/>
    <x v="7"/>
    <n v="0"/>
    <x v="4"/>
    <x v="0"/>
  </r>
  <r>
    <s v="TX500648"/>
    <x v="3"/>
    <x v="12"/>
    <n v="97.9"/>
    <n v="391.6"/>
    <x v="28"/>
    <d v="2025-02-02T00:00:00"/>
    <s v="F"/>
    <x v="3"/>
    <x v="2"/>
    <x v="0"/>
    <x v="7"/>
    <n v="4"/>
    <x v="4"/>
    <x v="2"/>
  </r>
  <r>
    <s v="TX500649"/>
    <x v="14"/>
    <x v="0"/>
    <n v="15"/>
    <n v="15"/>
    <x v="28"/>
    <d v="2025-02-03T00:00:00"/>
    <s v="F"/>
    <x v="3"/>
    <x v="0"/>
    <x v="0"/>
    <x v="8"/>
    <n v="5"/>
    <x v="4"/>
    <x v="2"/>
  </r>
  <r>
    <s v="TX500650"/>
    <x v="12"/>
    <x v="2"/>
    <n v="94.6"/>
    <n v="283.79999999999995"/>
    <x v="28"/>
    <d v="2025-01-30T00:00:00"/>
    <s v="M"/>
    <x v="2"/>
    <x v="1"/>
    <x v="0"/>
    <x v="8"/>
    <n v="1"/>
    <x v="4"/>
    <x v="1"/>
  </r>
  <r>
    <s v="TX500651"/>
    <x v="0"/>
    <x v="13"/>
    <n v="19.7"/>
    <n v="118.19999999999999"/>
    <x v="28"/>
    <d v="2025-02-09T00:00:00"/>
    <s v="F"/>
    <x v="0"/>
    <x v="2"/>
    <x v="0"/>
    <x v="8"/>
    <n v="11"/>
    <x v="4"/>
    <x v="2"/>
  </r>
  <r>
    <s v="TX500652"/>
    <x v="7"/>
    <x v="0"/>
    <n v="46.7"/>
    <n v="46.7"/>
    <x v="28"/>
    <d v="2025-02-01T00:00:00"/>
    <s v="F"/>
    <x v="2"/>
    <x v="0"/>
    <x v="0"/>
    <x v="17"/>
    <n v="3"/>
    <x v="4"/>
    <x v="2"/>
  </r>
  <r>
    <s v="TX500653"/>
    <x v="1"/>
    <x v="12"/>
    <n v="43"/>
    <n v="172"/>
    <x v="28"/>
    <d v="2025-01-30T00:00:00"/>
    <s v="M"/>
    <x v="2"/>
    <x v="2"/>
    <x v="0"/>
    <x v="17"/>
    <n v="1"/>
    <x v="4"/>
    <x v="1"/>
  </r>
  <r>
    <s v="TX500654"/>
    <x v="6"/>
    <x v="2"/>
    <n v="68.2"/>
    <n v="204.60000000000002"/>
    <x v="28"/>
    <d v="2025-02-04T00:00:00"/>
    <s v="F"/>
    <x v="0"/>
    <x v="0"/>
    <x v="0"/>
    <x v="9"/>
    <n v="6"/>
    <x v="4"/>
    <x v="2"/>
  </r>
  <r>
    <s v="TX500655"/>
    <x v="10"/>
    <x v="7"/>
    <n v="24.3"/>
    <n v="243"/>
    <x v="28"/>
    <d v="2025-01-30T00:00:00"/>
    <s v="M"/>
    <x v="0"/>
    <x v="2"/>
    <x v="0"/>
    <x v="10"/>
    <n v="1"/>
    <x v="4"/>
    <x v="1"/>
  </r>
  <r>
    <s v="TX500656"/>
    <x v="7"/>
    <x v="1"/>
    <n v="86.8"/>
    <n v="173.6"/>
    <x v="28"/>
    <d v="2025-02-02T00:00:00"/>
    <s v="F"/>
    <x v="4"/>
    <x v="2"/>
    <x v="0"/>
    <x v="11"/>
    <n v="4"/>
    <x v="4"/>
    <x v="2"/>
  </r>
  <r>
    <s v="TX500657"/>
    <x v="0"/>
    <x v="1"/>
    <n v="15.8"/>
    <n v="31.6"/>
    <x v="28"/>
    <d v="2025-01-31T00:00:00"/>
    <s v="M"/>
    <x v="1"/>
    <x v="0"/>
    <x v="0"/>
    <x v="11"/>
    <n v="2"/>
    <x v="4"/>
    <x v="1"/>
  </r>
  <r>
    <s v="TX500658"/>
    <x v="2"/>
    <x v="12"/>
    <n v="61.6"/>
    <n v="246.4"/>
    <x v="28"/>
    <d v="2025-01-30T00:00:00"/>
    <s v="M"/>
    <x v="2"/>
    <x v="0"/>
    <x v="0"/>
    <x v="11"/>
    <n v="1"/>
    <x v="4"/>
    <x v="1"/>
  </r>
  <r>
    <s v="TX500659"/>
    <x v="6"/>
    <x v="2"/>
    <n v="48.7"/>
    <n v="146.10000000000002"/>
    <x v="28"/>
    <d v="2025-02-04T00:00:00"/>
    <s v="F"/>
    <x v="1"/>
    <x v="2"/>
    <x v="0"/>
    <x v="45"/>
    <n v="6"/>
    <x v="4"/>
    <x v="2"/>
  </r>
  <r>
    <s v="TX500660"/>
    <x v="8"/>
    <x v="12"/>
    <n v="24.3"/>
    <n v="97.2"/>
    <x v="28"/>
    <d v="2025-01-31T00:00:00"/>
    <s v="F"/>
    <x v="1"/>
    <x v="2"/>
    <x v="0"/>
    <x v="21"/>
    <n v="2"/>
    <x v="4"/>
    <x v="2"/>
  </r>
  <r>
    <s v="TX500661"/>
    <x v="2"/>
    <x v="1"/>
    <n v="130.69999999999999"/>
    <n v="261.39999999999998"/>
    <x v="28"/>
    <d v="2025-01-30T00:00:00"/>
    <s v="F"/>
    <x v="2"/>
    <x v="0"/>
    <x v="0"/>
    <x v="44"/>
    <n v="1"/>
    <x v="4"/>
    <x v="2"/>
  </r>
  <r>
    <s v="TX500662"/>
    <x v="10"/>
    <x v="0"/>
    <n v="26"/>
    <n v="26"/>
    <x v="28"/>
    <d v="2025-01-31T00:00:00"/>
    <s v="M"/>
    <x v="0"/>
    <x v="0"/>
    <x v="0"/>
    <x v="3"/>
    <n v="2"/>
    <x v="4"/>
    <x v="1"/>
  </r>
  <r>
    <s v="TX500663"/>
    <x v="2"/>
    <x v="9"/>
    <n v="94.4"/>
    <n v="472"/>
    <x v="28"/>
    <d v="2025-01-30T00:00:00"/>
    <s v="F"/>
    <x v="0"/>
    <x v="0"/>
    <x v="0"/>
    <x v="3"/>
    <n v="1"/>
    <x v="4"/>
    <x v="2"/>
  </r>
  <r>
    <s v="TX500664"/>
    <x v="0"/>
    <x v="13"/>
    <n v="23.7"/>
    <n v="142.19999999999999"/>
    <x v="28"/>
    <d v="2025-01-31T00:00:00"/>
    <s v="M"/>
    <x v="2"/>
    <x v="2"/>
    <x v="0"/>
    <x v="3"/>
    <n v="2"/>
    <x v="4"/>
    <x v="1"/>
  </r>
  <r>
    <s v="TX500665"/>
    <x v="9"/>
    <x v="4"/>
    <n v="37.4"/>
    <n v="448.79999999999995"/>
    <x v="28"/>
    <d v="2025-01-31T00:00:00"/>
    <s v="M"/>
    <x v="2"/>
    <x v="0"/>
    <x v="0"/>
    <x v="3"/>
    <n v="2"/>
    <x v="4"/>
    <x v="1"/>
  </r>
  <r>
    <s v="TX500666"/>
    <x v="1"/>
    <x v="34"/>
    <n v="55.2"/>
    <n v="1987.2"/>
    <x v="28"/>
    <d v="2025-01-29T00:00:00"/>
    <s v="F"/>
    <x v="3"/>
    <x v="1"/>
    <x v="0"/>
    <x v="3"/>
    <n v="0"/>
    <x v="4"/>
    <x v="2"/>
  </r>
  <r>
    <s v="TX500667"/>
    <x v="2"/>
    <x v="11"/>
    <n v="57.1"/>
    <n v="513.9"/>
    <x v="28"/>
    <d v="2025-01-31T00:00:00"/>
    <s v="M"/>
    <x v="0"/>
    <x v="2"/>
    <x v="0"/>
    <x v="3"/>
    <n v="2"/>
    <x v="4"/>
    <x v="1"/>
  </r>
  <r>
    <s v="TX500668"/>
    <x v="12"/>
    <x v="0"/>
    <n v="55.3"/>
    <n v="55.3"/>
    <x v="28"/>
    <d v="2025-01-30T00:00:00"/>
    <s v="F"/>
    <x v="2"/>
    <x v="2"/>
    <x v="0"/>
    <x v="3"/>
    <n v="1"/>
    <x v="4"/>
    <x v="2"/>
  </r>
  <r>
    <s v="TX500669"/>
    <x v="15"/>
    <x v="3"/>
    <n v="23.9"/>
    <n v="167.29999999999998"/>
    <x v="28"/>
    <d v="2025-01-30T00:00:00"/>
    <s v="F"/>
    <x v="4"/>
    <x v="1"/>
    <x v="0"/>
    <x v="3"/>
    <n v="1"/>
    <x v="4"/>
    <x v="2"/>
  </r>
  <r>
    <s v="TX500670"/>
    <x v="0"/>
    <x v="0"/>
    <n v="34.1"/>
    <n v="34.1"/>
    <x v="28"/>
    <d v="2025-02-05T00:00:00"/>
    <s v="F"/>
    <x v="2"/>
    <x v="0"/>
    <x v="0"/>
    <x v="3"/>
    <n v="7"/>
    <x v="4"/>
    <x v="2"/>
  </r>
  <r>
    <s v="TX500671"/>
    <x v="12"/>
    <x v="12"/>
    <n v="38.5"/>
    <n v="154"/>
    <x v="28"/>
    <d v="2025-02-09T00:00:00"/>
    <s v="F"/>
    <x v="0"/>
    <x v="0"/>
    <x v="0"/>
    <x v="3"/>
    <n v="11"/>
    <x v="4"/>
    <x v="2"/>
  </r>
  <r>
    <s v="TX500672"/>
    <x v="7"/>
    <x v="1"/>
    <n v="105"/>
    <n v="210"/>
    <x v="28"/>
    <d v="2025-02-04T00:00:00"/>
    <s v="F"/>
    <x v="0"/>
    <x v="2"/>
    <x v="0"/>
    <x v="3"/>
    <n v="6"/>
    <x v="4"/>
    <x v="2"/>
  </r>
  <r>
    <s v="TX500673"/>
    <x v="8"/>
    <x v="9"/>
    <n v="45.2"/>
    <n v="226"/>
    <x v="28"/>
    <d v="2025-01-31T00:00:00"/>
    <s v="F"/>
    <x v="0"/>
    <x v="2"/>
    <x v="0"/>
    <x v="3"/>
    <n v="2"/>
    <x v="4"/>
    <x v="2"/>
  </r>
  <r>
    <s v="TX500674"/>
    <x v="17"/>
    <x v="2"/>
    <n v="24.8"/>
    <n v="74.400000000000006"/>
    <x v="28"/>
    <d v="2025-01-29T00:00:00"/>
    <s v=""/>
    <x v="0"/>
    <x v="1"/>
    <x v="0"/>
    <x v="3"/>
    <n v="0"/>
    <x v="4"/>
    <x v="0"/>
  </r>
  <r>
    <s v="TX500675"/>
    <x v="11"/>
    <x v="12"/>
    <n v="43.8"/>
    <n v="175.2"/>
    <x v="28"/>
    <d v="2025-02-05T00:00:00"/>
    <s v="F"/>
    <x v="1"/>
    <x v="2"/>
    <x v="0"/>
    <x v="6"/>
    <n v="7"/>
    <x v="4"/>
    <x v="2"/>
  </r>
  <r>
    <s v="TX500676"/>
    <x v="1"/>
    <x v="0"/>
    <n v="75"/>
    <n v="75"/>
    <x v="28"/>
    <d v="2025-01-31T00:00:00"/>
    <s v="F"/>
    <x v="4"/>
    <x v="1"/>
    <x v="0"/>
    <x v="6"/>
    <n v="2"/>
    <x v="4"/>
    <x v="2"/>
  </r>
  <r>
    <s v="TX500677"/>
    <x v="2"/>
    <x v="0"/>
    <n v="169.9"/>
    <n v="169.9"/>
    <x v="28"/>
    <d v="2025-01-30T00:00:00"/>
    <s v="M"/>
    <x v="2"/>
    <x v="0"/>
    <x v="0"/>
    <x v="6"/>
    <n v="1"/>
    <x v="4"/>
    <x v="1"/>
  </r>
  <r>
    <s v="TX500678"/>
    <x v="9"/>
    <x v="1"/>
    <n v="72.2"/>
    <n v="144.4"/>
    <x v="28"/>
    <d v="2025-01-31T00:00:00"/>
    <s v="F"/>
    <x v="4"/>
    <x v="1"/>
    <x v="0"/>
    <x v="6"/>
    <n v="2"/>
    <x v="4"/>
    <x v="2"/>
  </r>
  <r>
    <s v="TX500679"/>
    <x v="0"/>
    <x v="0"/>
    <n v="20"/>
    <n v="20"/>
    <x v="29"/>
    <d v="2025-02-02T00:00:00"/>
    <s v="F"/>
    <x v="2"/>
    <x v="1"/>
    <x v="0"/>
    <x v="7"/>
    <n v="3"/>
    <x v="4"/>
    <x v="2"/>
  </r>
  <r>
    <s v="TX500680"/>
    <x v="9"/>
    <x v="1"/>
    <n v="40.799999999999997"/>
    <n v="81.599999999999994"/>
    <x v="29"/>
    <d v="2025-02-01T00:00:00"/>
    <s v="F"/>
    <x v="3"/>
    <x v="2"/>
    <x v="0"/>
    <x v="8"/>
    <n v="2"/>
    <x v="4"/>
    <x v="2"/>
  </r>
  <r>
    <s v="TX500681"/>
    <x v="10"/>
    <x v="12"/>
    <n v="58"/>
    <n v="232"/>
    <x v="29"/>
    <d v="2025-02-03T00:00:00"/>
    <s v="F"/>
    <x v="0"/>
    <x v="0"/>
    <x v="0"/>
    <x v="8"/>
    <n v="4"/>
    <x v="4"/>
    <x v="2"/>
  </r>
  <r>
    <s v="TX500682"/>
    <x v="12"/>
    <x v="1"/>
    <n v="43.1"/>
    <n v="86.2"/>
    <x v="29"/>
    <d v="2025-01-31T00:00:00"/>
    <s v="F"/>
    <x v="1"/>
    <x v="2"/>
    <x v="0"/>
    <x v="8"/>
    <n v="1"/>
    <x v="4"/>
    <x v="2"/>
  </r>
  <r>
    <s v="TX500683"/>
    <x v="6"/>
    <x v="11"/>
    <n v="74.7"/>
    <n v="672.30000000000007"/>
    <x v="29"/>
    <d v="2025-02-01T00:00:00"/>
    <s v="M"/>
    <x v="0"/>
    <x v="2"/>
    <x v="0"/>
    <x v="8"/>
    <n v="2"/>
    <x v="4"/>
    <x v="1"/>
  </r>
  <r>
    <s v="TX500684"/>
    <x v="6"/>
    <x v="0"/>
    <n v="128.19999999999999"/>
    <n v="128.19999999999999"/>
    <x v="29"/>
    <d v="2025-01-30T00:00:00"/>
    <s v="M"/>
    <x v="1"/>
    <x v="0"/>
    <x v="0"/>
    <x v="8"/>
    <n v="0"/>
    <x v="4"/>
    <x v="1"/>
  </r>
  <r>
    <s v="TX500685"/>
    <x v="14"/>
    <x v="12"/>
    <n v="26.7"/>
    <n v="106.8"/>
    <x v="29"/>
    <d v="2025-01-31T00:00:00"/>
    <s v="M"/>
    <x v="1"/>
    <x v="0"/>
    <x v="0"/>
    <x v="8"/>
    <n v="1"/>
    <x v="4"/>
    <x v="1"/>
  </r>
  <r>
    <s v="TX500686"/>
    <x v="17"/>
    <x v="13"/>
    <n v="31.5"/>
    <n v="189"/>
    <x v="29"/>
    <d v="2025-01-31T00:00:00"/>
    <s v="F"/>
    <x v="2"/>
    <x v="0"/>
    <x v="0"/>
    <x v="17"/>
    <n v="1"/>
    <x v="4"/>
    <x v="2"/>
  </r>
  <r>
    <s v="TX500687"/>
    <x v="3"/>
    <x v="3"/>
    <n v="64.7"/>
    <n v="452.90000000000003"/>
    <x v="29"/>
    <d v="2025-01-31T00:00:00"/>
    <s v="F"/>
    <x v="0"/>
    <x v="2"/>
    <x v="0"/>
    <x v="9"/>
    <n v="1"/>
    <x v="4"/>
    <x v="2"/>
  </r>
  <r>
    <s v="TX500688"/>
    <x v="5"/>
    <x v="1"/>
    <n v="55.6"/>
    <n v="111.2"/>
    <x v="29"/>
    <d v="2025-02-02T00:00:00"/>
    <s v="F"/>
    <x v="3"/>
    <x v="0"/>
    <x v="0"/>
    <x v="11"/>
    <n v="3"/>
    <x v="4"/>
    <x v="2"/>
  </r>
  <r>
    <s v="TX500689"/>
    <x v="3"/>
    <x v="1"/>
    <n v="36.200000000000003"/>
    <n v="72.400000000000006"/>
    <x v="29"/>
    <d v="2025-01-31T00:00:00"/>
    <s v="F"/>
    <x v="3"/>
    <x v="0"/>
    <x v="0"/>
    <x v="11"/>
    <n v="1"/>
    <x v="4"/>
    <x v="2"/>
  </r>
  <r>
    <s v="TX500690"/>
    <x v="0"/>
    <x v="0"/>
    <n v="26.6"/>
    <n v="26.6"/>
    <x v="29"/>
    <d v="2025-01-31T00:00:00"/>
    <s v=""/>
    <x v="1"/>
    <x v="1"/>
    <x v="0"/>
    <x v="19"/>
    <n v="1"/>
    <x v="4"/>
    <x v="0"/>
  </r>
  <r>
    <s v="TX500691"/>
    <x v="10"/>
    <x v="12"/>
    <n v="31.5"/>
    <n v="126"/>
    <x v="29"/>
    <d v="2025-02-01T00:00:00"/>
    <s v="M"/>
    <x v="0"/>
    <x v="0"/>
    <x v="0"/>
    <x v="31"/>
    <n v="2"/>
    <x v="4"/>
    <x v="1"/>
  </r>
  <r>
    <s v="TX500692"/>
    <x v="10"/>
    <x v="0"/>
    <n v="27"/>
    <n v="27"/>
    <x v="29"/>
    <d v="2025-02-01T00:00:00"/>
    <s v="F"/>
    <x v="1"/>
    <x v="2"/>
    <x v="0"/>
    <x v="13"/>
    <n v="2"/>
    <x v="4"/>
    <x v="2"/>
  </r>
  <r>
    <s v="TX500693"/>
    <x v="4"/>
    <x v="0"/>
    <n v="32"/>
    <n v="32"/>
    <x v="29"/>
    <d v="2025-02-02T00:00:00"/>
    <s v="M"/>
    <x v="3"/>
    <x v="0"/>
    <x v="0"/>
    <x v="21"/>
    <n v="3"/>
    <x v="4"/>
    <x v="1"/>
  </r>
  <r>
    <s v="TX500694"/>
    <x v="1"/>
    <x v="2"/>
    <n v="48.1"/>
    <n v="144.30000000000001"/>
    <x v="29"/>
    <d v="2025-02-01T00:00:00"/>
    <s v="M"/>
    <x v="2"/>
    <x v="1"/>
    <x v="0"/>
    <x v="1"/>
    <n v="2"/>
    <x v="4"/>
    <x v="1"/>
  </r>
  <r>
    <s v="TX500695"/>
    <x v="9"/>
    <x v="1"/>
    <n v="43.4"/>
    <n v="86.8"/>
    <x v="29"/>
    <d v="2025-01-31T00:00:00"/>
    <s v="M"/>
    <x v="1"/>
    <x v="1"/>
    <x v="0"/>
    <x v="22"/>
    <n v="1"/>
    <x v="4"/>
    <x v="1"/>
  </r>
  <r>
    <s v="TX500696"/>
    <x v="6"/>
    <x v="1"/>
    <n v="42.6"/>
    <n v="85.2"/>
    <x v="29"/>
    <d v="2025-02-02T00:00:00"/>
    <s v="F"/>
    <x v="3"/>
    <x v="0"/>
    <x v="0"/>
    <x v="22"/>
    <n v="3"/>
    <x v="4"/>
    <x v="2"/>
  </r>
  <r>
    <s v="TX500697"/>
    <x v="8"/>
    <x v="1"/>
    <n v="15.9"/>
    <n v="31.8"/>
    <x v="29"/>
    <d v="2025-01-31T00:00:00"/>
    <s v="F"/>
    <x v="0"/>
    <x v="0"/>
    <x v="0"/>
    <x v="34"/>
    <n v="1"/>
    <x v="4"/>
    <x v="2"/>
  </r>
  <r>
    <s v="TX500698"/>
    <x v="9"/>
    <x v="1"/>
    <n v="63.2"/>
    <n v="126.4"/>
    <x v="29"/>
    <d v="2025-01-31T00:00:00"/>
    <s v="M"/>
    <x v="1"/>
    <x v="0"/>
    <x v="0"/>
    <x v="3"/>
    <n v="1"/>
    <x v="4"/>
    <x v="1"/>
  </r>
  <r>
    <s v="TX500699"/>
    <x v="7"/>
    <x v="12"/>
    <n v="64.8"/>
    <n v="259.2"/>
    <x v="29"/>
    <d v="2025-02-01T00:00:00"/>
    <s v=""/>
    <x v="4"/>
    <x v="1"/>
    <x v="0"/>
    <x v="3"/>
    <n v="2"/>
    <x v="4"/>
    <x v="0"/>
  </r>
  <r>
    <s v="TX500700"/>
    <x v="7"/>
    <x v="2"/>
    <n v="79.8"/>
    <n v="239.39999999999998"/>
    <x v="29"/>
    <d v="2025-01-31T00:00:00"/>
    <s v="M"/>
    <x v="0"/>
    <x v="0"/>
    <x v="0"/>
    <x v="3"/>
    <n v="1"/>
    <x v="4"/>
    <x v="1"/>
  </r>
  <r>
    <s v="TX500701"/>
    <x v="9"/>
    <x v="0"/>
    <n v="54.4"/>
    <n v="54.4"/>
    <x v="29"/>
    <d v="2025-02-01T00:00:00"/>
    <s v="F"/>
    <x v="4"/>
    <x v="2"/>
    <x v="0"/>
    <x v="3"/>
    <n v="2"/>
    <x v="4"/>
    <x v="2"/>
  </r>
  <r>
    <s v="TX500702"/>
    <x v="6"/>
    <x v="0"/>
    <n v="87.3"/>
    <n v="87.3"/>
    <x v="29"/>
    <d v="2025-01-31T00:00:00"/>
    <s v="M"/>
    <x v="1"/>
    <x v="0"/>
    <x v="0"/>
    <x v="3"/>
    <n v="1"/>
    <x v="4"/>
    <x v="1"/>
  </r>
  <r>
    <s v="TX500703"/>
    <x v="8"/>
    <x v="12"/>
    <n v="32.4"/>
    <n v="129.6"/>
    <x v="29"/>
    <d v="2025-01-30T00:00:00"/>
    <s v="M"/>
    <x v="1"/>
    <x v="0"/>
    <x v="0"/>
    <x v="3"/>
    <n v="0"/>
    <x v="4"/>
    <x v="1"/>
  </r>
  <r>
    <s v="TX500704"/>
    <x v="2"/>
    <x v="0"/>
    <n v="177.4"/>
    <n v="177.4"/>
    <x v="29"/>
    <d v="2025-02-03T00:00:00"/>
    <s v="M"/>
    <x v="0"/>
    <x v="2"/>
    <x v="0"/>
    <x v="3"/>
    <n v="4"/>
    <x v="4"/>
    <x v="1"/>
  </r>
  <r>
    <s v="TX500705"/>
    <x v="7"/>
    <x v="1"/>
    <n v="70.099999999999994"/>
    <n v="140.19999999999999"/>
    <x v="29"/>
    <d v="2025-01-31T00:00:00"/>
    <s v="M"/>
    <x v="3"/>
    <x v="1"/>
    <x v="0"/>
    <x v="3"/>
    <n v="1"/>
    <x v="4"/>
    <x v="1"/>
  </r>
  <r>
    <s v="TX500706"/>
    <x v="9"/>
    <x v="13"/>
    <n v="51.1"/>
    <n v="306.60000000000002"/>
    <x v="29"/>
    <d v="2025-01-31T00:00:00"/>
    <s v="F"/>
    <x v="0"/>
    <x v="0"/>
    <x v="0"/>
    <x v="3"/>
    <n v="1"/>
    <x v="4"/>
    <x v="2"/>
  </r>
  <r>
    <s v="TX500707"/>
    <x v="2"/>
    <x v="9"/>
    <n v="79.900000000000006"/>
    <n v="399.5"/>
    <x v="29"/>
    <d v="2025-02-01T00:00:00"/>
    <s v="M"/>
    <x v="3"/>
    <x v="2"/>
    <x v="0"/>
    <x v="24"/>
    <n v="2"/>
    <x v="4"/>
    <x v="1"/>
  </r>
  <r>
    <s v="TX500708"/>
    <x v="6"/>
    <x v="0"/>
    <n v="57.6"/>
    <n v="57.6"/>
    <x v="30"/>
    <d v="2025-02-05T00:00:00"/>
    <s v="M"/>
    <x v="0"/>
    <x v="2"/>
    <x v="0"/>
    <x v="49"/>
    <n v="5"/>
    <x v="4"/>
    <x v="1"/>
  </r>
  <r>
    <s v="TX500709"/>
    <x v="8"/>
    <x v="7"/>
    <n v="59.7"/>
    <n v="597"/>
    <x v="30"/>
    <d v="2025-02-04T00:00:00"/>
    <s v="M"/>
    <x v="2"/>
    <x v="0"/>
    <x v="0"/>
    <x v="25"/>
    <n v="4"/>
    <x v="4"/>
    <x v="1"/>
  </r>
  <r>
    <s v="TX500710"/>
    <x v="8"/>
    <x v="9"/>
    <n v="30"/>
    <n v="150"/>
    <x v="30"/>
    <d v="2025-02-02T00:00:00"/>
    <s v="M"/>
    <x v="1"/>
    <x v="0"/>
    <x v="0"/>
    <x v="6"/>
    <n v="2"/>
    <x v="4"/>
    <x v="1"/>
  </r>
  <r>
    <s v="TX500711"/>
    <x v="10"/>
    <x v="1"/>
    <n v="69.2"/>
    <n v="138.4"/>
    <x v="30"/>
    <d v="2025-02-02T00:00:00"/>
    <s v=""/>
    <x v="2"/>
    <x v="1"/>
    <x v="0"/>
    <x v="6"/>
    <n v="2"/>
    <x v="4"/>
    <x v="0"/>
  </r>
  <r>
    <s v="TX500712"/>
    <x v="0"/>
    <x v="8"/>
    <n v="10.9"/>
    <n v="87.2"/>
    <x v="30"/>
    <d v="2025-02-01T00:00:00"/>
    <s v="F"/>
    <x v="0"/>
    <x v="2"/>
    <x v="0"/>
    <x v="6"/>
    <n v="1"/>
    <x v="4"/>
    <x v="2"/>
  </r>
  <r>
    <s v="TX500713"/>
    <x v="16"/>
    <x v="1"/>
    <n v="48.6"/>
    <n v="97.2"/>
    <x v="30"/>
    <d v="2025-02-04T00:00:00"/>
    <s v="M"/>
    <x v="1"/>
    <x v="2"/>
    <x v="0"/>
    <x v="6"/>
    <n v="4"/>
    <x v="4"/>
    <x v="1"/>
  </r>
  <r>
    <s v="TX500714"/>
    <x v="2"/>
    <x v="1"/>
    <n v="61.1"/>
    <n v="122.2"/>
    <x v="30"/>
    <d v="2025-02-03T00:00:00"/>
    <s v="F"/>
    <x v="1"/>
    <x v="2"/>
    <x v="0"/>
    <x v="7"/>
    <n v="3"/>
    <x v="4"/>
    <x v="2"/>
  </r>
  <r>
    <s v="TX500715"/>
    <x v="8"/>
    <x v="1"/>
    <n v="23.2"/>
    <n v="46.4"/>
    <x v="30"/>
    <d v="2025-02-01T00:00:00"/>
    <s v="M"/>
    <x v="3"/>
    <x v="2"/>
    <x v="0"/>
    <x v="8"/>
    <n v="1"/>
    <x v="4"/>
    <x v="1"/>
  </r>
  <r>
    <s v="TX500716"/>
    <x v="12"/>
    <x v="12"/>
    <n v="55.8"/>
    <n v="223.2"/>
    <x v="30"/>
    <d v="2025-02-01T00:00:00"/>
    <s v="M"/>
    <x v="0"/>
    <x v="0"/>
    <x v="0"/>
    <x v="8"/>
    <n v="1"/>
    <x v="4"/>
    <x v="1"/>
  </r>
  <r>
    <s v="TX500717"/>
    <x v="9"/>
    <x v="12"/>
    <n v="24.8"/>
    <n v="99.2"/>
    <x v="30"/>
    <d v="2025-02-01T00:00:00"/>
    <s v="F"/>
    <x v="0"/>
    <x v="2"/>
    <x v="0"/>
    <x v="8"/>
    <n v="1"/>
    <x v="4"/>
    <x v="2"/>
  </r>
  <r>
    <s v="TX500718"/>
    <x v="10"/>
    <x v="1"/>
    <n v="27.9"/>
    <n v="55.8"/>
    <x v="30"/>
    <d v="2025-01-31T00:00:00"/>
    <s v="M"/>
    <x v="2"/>
    <x v="2"/>
    <x v="0"/>
    <x v="8"/>
    <n v="0"/>
    <x v="4"/>
    <x v="1"/>
  </r>
  <r>
    <s v="TX500719"/>
    <x v="10"/>
    <x v="13"/>
    <n v="51.1"/>
    <n v="306.60000000000002"/>
    <x v="30"/>
    <d v="2025-01-31T00:00:00"/>
    <s v="F"/>
    <x v="3"/>
    <x v="0"/>
    <x v="0"/>
    <x v="8"/>
    <n v="0"/>
    <x v="4"/>
    <x v="2"/>
  </r>
  <r>
    <s v="TX500720"/>
    <x v="17"/>
    <x v="5"/>
    <n v="32.700000000000003"/>
    <n v="359.70000000000005"/>
    <x v="30"/>
    <d v="2025-02-01T00:00:00"/>
    <s v="M"/>
    <x v="4"/>
    <x v="2"/>
    <x v="0"/>
    <x v="17"/>
    <n v="1"/>
    <x v="4"/>
    <x v="1"/>
  </r>
  <r>
    <s v="TX500721"/>
    <x v="8"/>
    <x v="12"/>
    <n v="22.5"/>
    <n v="90"/>
    <x v="30"/>
    <d v="2025-01-31T00:00:00"/>
    <s v="M"/>
    <x v="0"/>
    <x v="2"/>
    <x v="0"/>
    <x v="26"/>
    <n v="0"/>
    <x v="4"/>
    <x v="1"/>
  </r>
  <r>
    <s v="TX500722"/>
    <x v="0"/>
    <x v="3"/>
    <n v="14.6"/>
    <n v="102.2"/>
    <x v="30"/>
    <d v="2025-02-01T00:00:00"/>
    <s v="F"/>
    <x v="2"/>
    <x v="0"/>
    <x v="0"/>
    <x v="41"/>
    <n v="1"/>
    <x v="4"/>
    <x v="2"/>
  </r>
  <r>
    <s v="TX500723"/>
    <x v="5"/>
    <x v="2"/>
    <n v="32.5"/>
    <n v="97.5"/>
    <x v="30"/>
    <d v="2025-02-03T00:00:00"/>
    <s v="M"/>
    <x v="0"/>
    <x v="0"/>
    <x v="0"/>
    <x v="10"/>
    <n v="3"/>
    <x v="4"/>
    <x v="1"/>
  </r>
  <r>
    <s v="TX500724"/>
    <x v="18"/>
    <x v="0"/>
    <n v="78.099999999999994"/>
    <n v="78.099999999999994"/>
    <x v="30"/>
    <d v="2025-02-03T00:00:00"/>
    <s v="M"/>
    <x v="0"/>
    <x v="2"/>
    <x v="0"/>
    <x v="11"/>
    <n v="3"/>
    <x v="4"/>
    <x v="1"/>
  </r>
  <r>
    <s v="TX500725"/>
    <x v="12"/>
    <x v="13"/>
    <n v="110.2"/>
    <n v="661.2"/>
    <x v="30"/>
    <d v="2025-01-31T00:00:00"/>
    <s v="M"/>
    <x v="1"/>
    <x v="4"/>
    <x v="0"/>
    <x v="13"/>
    <n v="0"/>
    <x v="4"/>
    <x v="1"/>
  </r>
  <r>
    <s v="TX500726"/>
    <x v="6"/>
    <x v="2"/>
    <n v="86.3"/>
    <n v="258.89999999999998"/>
    <x v="30"/>
    <d v="2025-02-02T00:00:00"/>
    <s v="F"/>
    <x v="3"/>
    <x v="0"/>
    <x v="0"/>
    <x v="21"/>
    <n v="2"/>
    <x v="4"/>
    <x v="2"/>
  </r>
  <r>
    <s v="TX500727"/>
    <x v="1"/>
    <x v="13"/>
    <n v="73.599999999999994"/>
    <n v="441.59999999999997"/>
    <x v="30"/>
    <d v="2025-02-02T00:00:00"/>
    <s v="O"/>
    <x v="3"/>
    <x v="4"/>
    <x v="0"/>
    <x v="44"/>
    <n v="2"/>
    <x v="4"/>
    <x v="3"/>
  </r>
  <r>
    <s v="TX500728"/>
    <x v="6"/>
    <x v="15"/>
    <n v="67.7"/>
    <n v="880.1"/>
    <x v="30"/>
    <d v="2025-02-02T00:00:00"/>
    <s v="F"/>
    <x v="0"/>
    <x v="2"/>
    <x v="0"/>
    <x v="3"/>
    <n v="2"/>
    <x v="4"/>
    <x v="2"/>
  </r>
  <r>
    <s v="TX500729"/>
    <x v="7"/>
    <x v="13"/>
    <n v="142.19999999999999"/>
    <n v="853.19999999999993"/>
    <x v="30"/>
    <d v="2025-02-01T00:00:00"/>
    <s v="F"/>
    <x v="2"/>
    <x v="4"/>
    <x v="0"/>
    <x v="3"/>
    <n v="1"/>
    <x v="4"/>
    <x v="2"/>
  </r>
  <r>
    <s v="TX500730"/>
    <x v="1"/>
    <x v="11"/>
    <n v="45.8"/>
    <n v="412.2"/>
    <x v="30"/>
    <d v="2025-02-02T00:00:00"/>
    <s v="F"/>
    <x v="1"/>
    <x v="2"/>
    <x v="0"/>
    <x v="3"/>
    <n v="2"/>
    <x v="4"/>
    <x v="2"/>
  </r>
  <r>
    <s v="TX500731"/>
    <x v="10"/>
    <x v="1"/>
    <n v="24.2"/>
    <n v="48.4"/>
    <x v="31"/>
    <d v="2025-02-04T00:00:00"/>
    <s v="F"/>
    <x v="3"/>
    <x v="2"/>
    <x v="0"/>
    <x v="3"/>
    <n v="3"/>
    <x v="4"/>
    <x v="2"/>
  </r>
  <r>
    <s v="TX500732"/>
    <x v="2"/>
    <x v="2"/>
    <n v="144.9"/>
    <n v="434.70000000000005"/>
    <x v="31"/>
    <d v="2025-02-02T00:00:00"/>
    <s v="O"/>
    <x v="2"/>
    <x v="2"/>
    <x v="0"/>
    <x v="3"/>
    <n v="1"/>
    <x v="4"/>
    <x v="3"/>
  </r>
  <r>
    <s v="TX500733"/>
    <x v="11"/>
    <x v="9"/>
    <n v="32.799999999999997"/>
    <n v="164"/>
    <x v="31"/>
    <d v="2025-02-04T00:00:00"/>
    <s v="F"/>
    <x v="2"/>
    <x v="0"/>
    <x v="0"/>
    <x v="23"/>
    <n v="3"/>
    <x v="4"/>
    <x v="2"/>
  </r>
  <r>
    <s v="TX500734"/>
    <x v="7"/>
    <x v="7"/>
    <n v="35.700000000000003"/>
    <n v="357"/>
    <x v="31"/>
    <d v="2025-02-01T00:00:00"/>
    <s v="F"/>
    <x v="0"/>
    <x v="1"/>
    <x v="0"/>
    <x v="6"/>
    <n v="0"/>
    <x v="4"/>
    <x v="2"/>
  </r>
  <r>
    <s v="TX500735"/>
    <x v="9"/>
    <x v="1"/>
    <n v="54.6"/>
    <n v="109.2"/>
    <x v="31"/>
    <d v="2025-02-02T00:00:00"/>
    <s v="F"/>
    <x v="2"/>
    <x v="0"/>
    <x v="0"/>
    <x v="6"/>
    <n v="1"/>
    <x v="4"/>
    <x v="2"/>
  </r>
  <r>
    <s v="TX500736"/>
    <x v="8"/>
    <x v="1"/>
    <n v="35.700000000000003"/>
    <n v="71.400000000000006"/>
    <x v="31"/>
    <d v="2025-02-04T00:00:00"/>
    <s v=""/>
    <x v="0"/>
    <x v="1"/>
    <x v="0"/>
    <x v="6"/>
    <n v="3"/>
    <x v="4"/>
    <x v="0"/>
  </r>
  <r>
    <s v="TX500737"/>
    <x v="10"/>
    <x v="1"/>
    <n v="52.4"/>
    <n v="104.8"/>
    <x v="31"/>
    <d v="2025-02-01T00:00:00"/>
    <s v="F"/>
    <x v="0"/>
    <x v="3"/>
    <x v="0"/>
    <x v="6"/>
    <n v="0"/>
    <x v="4"/>
    <x v="2"/>
  </r>
  <r>
    <s v="TX500738"/>
    <x v="8"/>
    <x v="21"/>
    <n v="16.2"/>
    <n v="226.79999999999998"/>
    <x v="31"/>
    <d v="2025-02-02T00:00:00"/>
    <s v=""/>
    <x v="0"/>
    <x v="1"/>
    <x v="0"/>
    <x v="8"/>
    <n v="1"/>
    <x v="4"/>
    <x v="0"/>
  </r>
  <r>
    <s v="TX500739"/>
    <x v="6"/>
    <x v="35"/>
    <n v="42.8"/>
    <n v="2011.6"/>
    <x v="31"/>
    <d v="2025-02-02T00:00:00"/>
    <s v="F"/>
    <x v="0"/>
    <x v="0"/>
    <x v="0"/>
    <x v="8"/>
    <n v="1"/>
    <x v="4"/>
    <x v="2"/>
  </r>
  <r>
    <s v="TX500740"/>
    <x v="6"/>
    <x v="11"/>
    <n v="144.4"/>
    <n v="1299.6000000000001"/>
    <x v="31"/>
    <d v="2025-02-04T00:00:00"/>
    <s v="F"/>
    <x v="4"/>
    <x v="0"/>
    <x v="0"/>
    <x v="8"/>
    <n v="3"/>
    <x v="4"/>
    <x v="2"/>
  </r>
  <r>
    <s v="TX500741"/>
    <x v="3"/>
    <x v="34"/>
    <n v="30.6"/>
    <n v="1101.6000000000001"/>
    <x v="31"/>
    <d v="2025-02-05T00:00:00"/>
    <s v="F"/>
    <x v="2"/>
    <x v="2"/>
    <x v="0"/>
    <x v="11"/>
    <n v="4"/>
    <x v="4"/>
    <x v="2"/>
  </r>
  <r>
    <s v="TX500742"/>
    <x v="2"/>
    <x v="1"/>
    <n v="117.5"/>
    <n v="235"/>
    <x v="31"/>
    <d v="2025-02-02T00:00:00"/>
    <s v="M"/>
    <x v="0"/>
    <x v="0"/>
    <x v="0"/>
    <x v="19"/>
    <n v="1"/>
    <x v="4"/>
    <x v="1"/>
  </r>
  <r>
    <s v="TX500743"/>
    <x v="6"/>
    <x v="1"/>
    <n v="105.7"/>
    <n v="211.4"/>
    <x v="31"/>
    <d v="2025-02-02T00:00:00"/>
    <s v="F"/>
    <x v="2"/>
    <x v="2"/>
    <x v="0"/>
    <x v="21"/>
    <n v="1"/>
    <x v="4"/>
    <x v="2"/>
  </r>
  <r>
    <s v="TX500744"/>
    <x v="3"/>
    <x v="2"/>
    <n v="133.69999999999999"/>
    <n v="401.09999999999997"/>
    <x v="31"/>
    <d v="2025-02-02T00:00:00"/>
    <s v=""/>
    <x v="4"/>
    <x v="2"/>
    <x v="0"/>
    <x v="21"/>
    <n v="1"/>
    <x v="4"/>
    <x v="0"/>
  </r>
  <r>
    <s v="TX500745"/>
    <x v="4"/>
    <x v="9"/>
    <n v="46.8"/>
    <n v="234"/>
    <x v="32"/>
    <d v="2025-02-10T00:00:00"/>
    <s v="F"/>
    <x v="0"/>
    <x v="1"/>
    <x v="0"/>
    <x v="21"/>
    <n v="8"/>
    <x v="5"/>
    <x v="2"/>
  </r>
  <r>
    <s v="TX500746"/>
    <x v="10"/>
    <x v="2"/>
    <n v="58.4"/>
    <n v="175.2"/>
    <x v="32"/>
    <d v="2025-02-04T00:00:00"/>
    <s v="F"/>
    <x v="0"/>
    <x v="0"/>
    <x v="0"/>
    <x v="1"/>
    <n v="2"/>
    <x v="5"/>
    <x v="2"/>
  </r>
  <r>
    <s v="TX500747"/>
    <x v="6"/>
    <x v="11"/>
    <n v="65.099999999999994"/>
    <n v="585.9"/>
    <x v="32"/>
    <d v="2025-02-06T00:00:00"/>
    <s v="M"/>
    <x v="1"/>
    <x v="2"/>
    <x v="0"/>
    <x v="22"/>
    <n v="4"/>
    <x v="5"/>
    <x v="1"/>
  </r>
  <r>
    <s v="TX500748"/>
    <x v="8"/>
    <x v="0"/>
    <n v="18.600000000000001"/>
    <n v="18.600000000000001"/>
    <x v="32"/>
    <d v="2025-02-05T00:00:00"/>
    <s v="F"/>
    <x v="0"/>
    <x v="4"/>
    <x v="0"/>
    <x v="22"/>
    <n v="3"/>
    <x v="5"/>
    <x v="2"/>
  </r>
  <r>
    <s v="TX500749"/>
    <x v="1"/>
    <x v="5"/>
    <n v="92.3"/>
    <n v="1015.3"/>
    <x v="32"/>
    <d v="2025-02-04T00:00:00"/>
    <s v="M"/>
    <x v="1"/>
    <x v="0"/>
    <x v="0"/>
    <x v="3"/>
    <n v="2"/>
    <x v="5"/>
    <x v="1"/>
  </r>
  <r>
    <s v="TX500750"/>
    <x v="6"/>
    <x v="2"/>
    <n v="81.7"/>
    <n v="245.10000000000002"/>
    <x v="32"/>
    <d v="2025-02-03T00:00:00"/>
    <s v=""/>
    <x v="4"/>
    <x v="4"/>
    <x v="0"/>
    <x v="3"/>
    <n v="1"/>
    <x v="5"/>
    <x v="0"/>
  </r>
  <r>
    <s v="TX500751"/>
    <x v="8"/>
    <x v="1"/>
    <n v="40.9"/>
    <n v="81.8"/>
    <x v="32"/>
    <d v="2025-02-04T00:00:00"/>
    <s v="M"/>
    <x v="0"/>
    <x v="1"/>
    <x v="0"/>
    <x v="3"/>
    <n v="2"/>
    <x v="5"/>
    <x v="1"/>
  </r>
  <r>
    <s v="TX500752"/>
    <x v="6"/>
    <x v="12"/>
    <n v="43.2"/>
    <n v="172.8"/>
    <x v="32"/>
    <d v="2025-02-08T00:00:00"/>
    <s v="F"/>
    <x v="0"/>
    <x v="1"/>
    <x v="0"/>
    <x v="3"/>
    <n v="6"/>
    <x v="5"/>
    <x v="2"/>
  </r>
  <r>
    <s v="TX500753"/>
    <x v="8"/>
    <x v="5"/>
    <n v="25.8"/>
    <n v="283.8"/>
    <x v="32"/>
    <d v="2025-02-05T00:00:00"/>
    <s v="M"/>
    <x v="2"/>
    <x v="1"/>
    <x v="0"/>
    <x v="3"/>
    <n v="3"/>
    <x v="5"/>
    <x v="1"/>
  </r>
  <r>
    <s v="TX500754"/>
    <x v="15"/>
    <x v="12"/>
    <n v="36.4"/>
    <n v="145.6"/>
    <x v="32"/>
    <d v="2025-02-03T00:00:00"/>
    <s v="M"/>
    <x v="0"/>
    <x v="0"/>
    <x v="0"/>
    <x v="3"/>
    <n v="1"/>
    <x v="5"/>
    <x v="1"/>
  </r>
  <r>
    <s v="TX500755"/>
    <x v="10"/>
    <x v="0"/>
    <n v="59.1"/>
    <n v="59.1"/>
    <x v="32"/>
    <d v="2025-02-03T00:00:00"/>
    <s v="F"/>
    <x v="2"/>
    <x v="0"/>
    <x v="0"/>
    <x v="7"/>
    <n v="1"/>
    <x v="5"/>
    <x v="2"/>
  </r>
  <r>
    <s v="TX500756"/>
    <x v="2"/>
    <x v="14"/>
    <n v="74.5"/>
    <n v="1266.5"/>
    <x v="32"/>
    <d v="2025-02-04T00:00:00"/>
    <s v="M"/>
    <x v="4"/>
    <x v="0"/>
    <x v="0"/>
    <x v="18"/>
    <n v="2"/>
    <x v="5"/>
    <x v="1"/>
  </r>
  <r>
    <s v="TX500757"/>
    <x v="5"/>
    <x v="0"/>
    <n v="72.8"/>
    <n v="72.8"/>
    <x v="32"/>
    <d v="2025-02-03T00:00:00"/>
    <s v="F"/>
    <x v="0"/>
    <x v="1"/>
    <x v="0"/>
    <x v="19"/>
    <n v="1"/>
    <x v="5"/>
    <x v="2"/>
  </r>
  <r>
    <s v="TX500758"/>
    <x v="6"/>
    <x v="12"/>
    <n v="137.30000000000001"/>
    <n v="549.20000000000005"/>
    <x v="32"/>
    <d v="2025-02-05T00:00:00"/>
    <s v="F"/>
    <x v="0"/>
    <x v="0"/>
    <x v="0"/>
    <x v="13"/>
    <n v="3"/>
    <x v="5"/>
    <x v="2"/>
  </r>
  <r>
    <s v="TX500759"/>
    <x v="1"/>
    <x v="2"/>
    <n v="48.7"/>
    <n v="146.10000000000002"/>
    <x v="32"/>
    <d v="2025-02-07T00:00:00"/>
    <s v="F"/>
    <x v="0"/>
    <x v="1"/>
    <x v="0"/>
    <x v="21"/>
    <n v="5"/>
    <x v="5"/>
    <x v="2"/>
  </r>
  <r>
    <s v="TX500760"/>
    <x v="6"/>
    <x v="12"/>
    <n v="53.7"/>
    <n v="214.8"/>
    <x v="32"/>
    <d v="2025-02-06T00:00:00"/>
    <s v="M"/>
    <x v="1"/>
    <x v="4"/>
    <x v="0"/>
    <x v="2"/>
    <n v="4"/>
    <x v="5"/>
    <x v="1"/>
  </r>
  <r>
    <s v="TX500761"/>
    <x v="2"/>
    <x v="3"/>
    <n v="100.9"/>
    <n v="706.30000000000007"/>
    <x v="32"/>
    <d v="2025-02-04T00:00:00"/>
    <s v="F"/>
    <x v="0"/>
    <x v="1"/>
    <x v="0"/>
    <x v="2"/>
    <n v="2"/>
    <x v="5"/>
    <x v="2"/>
  </r>
  <r>
    <s v="TX500762"/>
    <x v="10"/>
    <x v="1"/>
    <n v="41.8"/>
    <n v="83.6"/>
    <x v="32"/>
    <d v="2025-02-06T00:00:00"/>
    <s v="M"/>
    <x v="3"/>
    <x v="2"/>
    <x v="0"/>
    <x v="22"/>
    <n v="4"/>
    <x v="5"/>
    <x v="1"/>
  </r>
  <r>
    <s v="TX500763"/>
    <x v="4"/>
    <x v="8"/>
    <n v="28.5"/>
    <n v="228"/>
    <x v="32"/>
    <d v="2025-02-04T00:00:00"/>
    <s v="M"/>
    <x v="2"/>
    <x v="1"/>
    <x v="0"/>
    <x v="3"/>
    <n v="2"/>
    <x v="5"/>
    <x v="1"/>
  </r>
  <r>
    <s v="TX500764"/>
    <x v="7"/>
    <x v="12"/>
    <n v="88.9"/>
    <n v="355.6"/>
    <x v="32"/>
    <d v="2025-02-05T00:00:00"/>
    <s v="F"/>
    <x v="0"/>
    <x v="2"/>
    <x v="0"/>
    <x v="3"/>
    <n v="3"/>
    <x v="5"/>
    <x v="2"/>
  </r>
  <r>
    <s v="TX500765"/>
    <x v="6"/>
    <x v="0"/>
    <n v="62.5"/>
    <n v="62.5"/>
    <x v="32"/>
    <d v="2025-02-11T00:00:00"/>
    <s v="F"/>
    <x v="0"/>
    <x v="2"/>
    <x v="0"/>
    <x v="3"/>
    <n v="9"/>
    <x v="5"/>
    <x v="2"/>
  </r>
  <r>
    <s v="TX500766"/>
    <x v="1"/>
    <x v="2"/>
    <n v="46.9"/>
    <n v="140.69999999999999"/>
    <x v="32"/>
    <d v="2025-02-03T00:00:00"/>
    <s v="M"/>
    <x v="0"/>
    <x v="2"/>
    <x v="0"/>
    <x v="3"/>
    <n v="1"/>
    <x v="5"/>
    <x v="1"/>
  </r>
  <r>
    <s v="TX500767"/>
    <x v="8"/>
    <x v="2"/>
    <n v="45"/>
    <n v="135"/>
    <x v="32"/>
    <d v="2025-02-16T00:00:00"/>
    <s v="M"/>
    <x v="1"/>
    <x v="0"/>
    <x v="0"/>
    <x v="3"/>
    <n v="14"/>
    <x v="5"/>
    <x v="1"/>
  </r>
  <r>
    <s v="TX500768"/>
    <x v="6"/>
    <x v="2"/>
    <n v="45.2"/>
    <n v="135.60000000000002"/>
    <x v="32"/>
    <d v="2025-02-04T00:00:00"/>
    <s v="M"/>
    <x v="4"/>
    <x v="2"/>
    <x v="0"/>
    <x v="3"/>
    <n v="2"/>
    <x v="5"/>
    <x v="1"/>
  </r>
  <r>
    <s v="TX500769"/>
    <x v="4"/>
    <x v="1"/>
    <n v="60.1"/>
    <n v="120.2"/>
    <x v="32"/>
    <d v="2025-02-03T00:00:00"/>
    <s v="F"/>
    <x v="0"/>
    <x v="2"/>
    <x v="0"/>
    <x v="3"/>
    <n v="1"/>
    <x v="5"/>
    <x v="2"/>
  </r>
  <r>
    <s v="TX500770"/>
    <x v="12"/>
    <x v="12"/>
    <n v="118.7"/>
    <n v="474.8"/>
    <x v="32"/>
    <d v="2025-02-04T00:00:00"/>
    <s v="F"/>
    <x v="0"/>
    <x v="0"/>
    <x v="0"/>
    <x v="3"/>
    <n v="2"/>
    <x v="5"/>
    <x v="2"/>
  </r>
  <r>
    <s v="TX500771"/>
    <x v="9"/>
    <x v="0"/>
    <n v="57.8"/>
    <n v="57.8"/>
    <x v="32"/>
    <d v="2025-02-11T00:00:00"/>
    <s v="F"/>
    <x v="1"/>
    <x v="0"/>
    <x v="0"/>
    <x v="3"/>
    <n v="9"/>
    <x v="5"/>
    <x v="2"/>
  </r>
  <r>
    <s v="TX500772"/>
    <x v="4"/>
    <x v="0"/>
    <n v="19.5"/>
    <n v="19.5"/>
    <x v="32"/>
    <d v="2025-02-03T00:00:00"/>
    <s v="M"/>
    <x v="1"/>
    <x v="1"/>
    <x v="0"/>
    <x v="3"/>
    <n v="1"/>
    <x v="5"/>
    <x v="1"/>
  </r>
  <r>
    <s v="TX500773"/>
    <x v="12"/>
    <x v="0"/>
    <n v="42.6"/>
    <n v="42.6"/>
    <x v="32"/>
    <d v="2025-02-03T00:00:00"/>
    <s v="M"/>
    <x v="0"/>
    <x v="1"/>
    <x v="0"/>
    <x v="3"/>
    <n v="1"/>
    <x v="5"/>
    <x v="1"/>
  </r>
  <r>
    <s v="TX500774"/>
    <x v="6"/>
    <x v="1"/>
    <n v="74.8"/>
    <n v="149.6"/>
    <x v="32"/>
    <d v="2025-02-03T00:00:00"/>
    <s v="F"/>
    <x v="3"/>
    <x v="2"/>
    <x v="0"/>
    <x v="37"/>
    <n v="1"/>
    <x v="5"/>
    <x v="2"/>
  </r>
  <r>
    <s v="TX500775"/>
    <x v="8"/>
    <x v="2"/>
    <n v="32.5"/>
    <n v="97.5"/>
    <x v="32"/>
    <d v="2025-02-03T00:00:00"/>
    <s v="M"/>
    <x v="2"/>
    <x v="4"/>
    <x v="0"/>
    <x v="16"/>
    <n v="1"/>
    <x v="5"/>
    <x v="1"/>
  </r>
  <r>
    <s v="TX500776"/>
    <x v="2"/>
    <x v="2"/>
    <n v="60.5"/>
    <n v="181.5"/>
    <x v="32"/>
    <d v="2025-02-02T00:00:00"/>
    <s v="F"/>
    <x v="1"/>
    <x v="2"/>
    <x v="0"/>
    <x v="25"/>
    <n v="0"/>
    <x v="5"/>
    <x v="2"/>
  </r>
  <r>
    <s v="TX500777"/>
    <x v="1"/>
    <x v="3"/>
    <n v="57.2"/>
    <n v="400.40000000000003"/>
    <x v="32"/>
    <d v="2025-02-04T00:00:00"/>
    <s v=""/>
    <x v="2"/>
    <x v="0"/>
    <x v="0"/>
    <x v="25"/>
    <n v="2"/>
    <x v="5"/>
    <x v="0"/>
  </r>
  <r>
    <s v="TX500778"/>
    <x v="16"/>
    <x v="1"/>
    <n v="112"/>
    <n v="224"/>
    <x v="32"/>
    <d v="2025-02-03T00:00:00"/>
    <s v="F"/>
    <x v="1"/>
    <x v="1"/>
    <x v="0"/>
    <x v="5"/>
    <n v="1"/>
    <x v="5"/>
    <x v="2"/>
  </r>
  <r>
    <s v="TX500779"/>
    <x v="7"/>
    <x v="7"/>
    <n v="49"/>
    <n v="490"/>
    <x v="32"/>
    <d v="2025-02-03T00:00:00"/>
    <s v="O"/>
    <x v="2"/>
    <x v="1"/>
    <x v="0"/>
    <x v="6"/>
    <n v="1"/>
    <x v="5"/>
    <x v="3"/>
  </r>
  <r>
    <s v="TX500780"/>
    <x v="0"/>
    <x v="1"/>
    <n v="33.700000000000003"/>
    <n v="67.400000000000006"/>
    <x v="32"/>
    <d v="2025-02-06T00:00:00"/>
    <s v="F"/>
    <x v="3"/>
    <x v="0"/>
    <x v="0"/>
    <x v="6"/>
    <n v="4"/>
    <x v="5"/>
    <x v="2"/>
  </r>
  <r>
    <s v="TX500781"/>
    <x v="4"/>
    <x v="2"/>
    <n v="35.6"/>
    <n v="106.80000000000001"/>
    <x v="32"/>
    <d v="2025-02-05T00:00:00"/>
    <s v="F"/>
    <x v="0"/>
    <x v="2"/>
    <x v="0"/>
    <x v="6"/>
    <n v="3"/>
    <x v="5"/>
    <x v="2"/>
  </r>
  <r>
    <s v="TX500782"/>
    <x v="4"/>
    <x v="36"/>
    <n v="30.4"/>
    <n v="1064"/>
    <x v="33"/>
    <d v="2025-02-03T00:00:00"/>
    <s v="F"/>
    <x v="0"/>
    <x v="1"/>
    <x v="0"/>
    <x v="7"/>
    <n v="0"/>
    <x v="5"/>
    <x v="2"/>
  </r>
  <r>
    <s v="TX500783"/>
    <x v="10"/>
    <x v="4"/>
    <n v="50.2"/>
    <n v="602.40000000000009"/>
    <x v="33"/>
    <d v="2025-02-04T00:00:00"/>
    <s v="M"/>
    <x v="4"/>
    <x v="0"/>
    <x v="0"/>
    <x v="8"/>
    <n v="1"/>
    <x v="5"/>
    <x v="1"/>
  </r>
  <r>
    <s v="TX500784"/>
    <x v="1"/>
    <x v="1"/>
    <n v="43.7"/>
    <n v="87.4"/>
    <x v="33"/>
    <d v="2025-02-05T00:00:00"/>
    <s v="F"/>
    <x v="0"/>
    <x v="0"/>
    <x v="0"/>
    <x v="8"/>
    <n v="2"/>
    <x v="5"/>
    <x v="2"/>
  </r>
  <r>
    <s v="TX500785"/>
    <x v="10"/>
    <x v="0"/>
    <n v="33.299999999999997"/>
    <n v="33.299999999999997"/>
    <x v="33"/>
    <d v="2025-02-04T00:00:00"/>
    <s v="F"/>
    <x v="2"/>
    <x v="1"/>
    <x v="0"/>
    <x v="8"/>
    <n v="1"/>
    <x v="5"/>
    <x v="2"/>
  </r>
  <r>
    <s v="TX500786"/>
    <x v="8"/>
    <x v="12"/>
    <n v="15.1"/>
    <n v="60.4"/>
    <x v="33"/>
    <d v="2025-02-05T00:00:00"/>
    <s v="F"/>
    <x v="4"/>
    <x v="2"/>
    <x v="0"/>
    <x v="8"/>
    <n v="2"/>
    <x v="5"/>
    <x v="2"/>
  </r>
  <r>
    <s v="TX500787"/>
    <x v="6"/>
    <x v="9"/>
    <n v="118.2"/>
    <n v="591"/>
    <x v="33"/>
    <d v="2025-02-04T00:00:00"/>
    <s v="F"/>
    <x v="3"/>
    <x v="4"/>
    <x v="0"/>
    <x v="8"/>
    <n v="1"/>
    <x v="5"/>
    <x v="2"/>
  </r>
  <r>
    <s v="TX500788"/>
    <x v="10"/>
    <x v="2"/>
    <n v="28.9"/>
    <n v="86.699999999999989"/>
    <x v="33"/>
    <d v="2025-02-05T00:00:00"/>
    <s v="F"/>
    <x v="2"/>
    <x v="1"/>
    <x v="0"/>
    <x v="8"/>
    <n v="2"/>
    <x v="5"/>
    <x v="2"/>
  </r>
  <r>
    <s v="TX500789"/>
    <x v="4"/>
    <x v="2"/>
    <n v="55.6"/>
    <n v="166.8"/>
    <x v="33"/>
    <d v="2025-02-04T00:00:00"/>
    <s v="M"/>
    <x v="0"/>
    <x v="1"/>
    <x v="0"/>
    <x v="8"/>
    <n v="1"/>
    <x v="5"/>
    <x v="1"/>
  </r>
  <r>
    <s v="TX500790"/>
    <x v="9"/>
    <x v="12"/>
    <n v="25.6"/>
    <n v="102.4"/>
    <x v="33"/>
    <d v="2025-02-05T00:00:00"/>
    <s v="F"/>
    <x v="0"/>
    <x v="1"/>
    <x v="0"/>
    <x v="8"/>
    <n v="2"/>
    <x v="5"/>
    <x v="2"/>
  </r>
  <r>
    <s v="TX500791"/>
    <x v="7"/>
    <x v="2"/>
    <n v="31.3"/>
    <n v="93.9"/>
    <x v="33"/>
    <d v="2025-02-04T00:00:00"/>
    <s v="M"/>
    <x v="0"/>
    <x v="0"/>
    <x v="0"/>
    <x v="17"/>
    <n v="1"/>
    <x v="5"/>
    <x v="1"/>
  </r>
  <r>
    <s v="TX500792"/>
    <x v="0"/>
    <x v="2"/>
    <n v="22.1"/>
    <n v="66.300000000000011"/>
    <x v="33"/>
    <d v="2025-02-07T00:00:00"/>
    <s v="M"/>
    <x v="0"/>
    <x v="0"/>
    <x v="0"/>
    <x v="17"/>
    <n v="4"/>
    <x v="5"/>
    <x v="1"/>
  </r>
  <r>
    <s v="TX500793"/>
    <x v="2"/>
    <x v="21"/>
    <n v="99.4"/>
    <n v="1391.6000000000001"/>
    <x v="33"/>
    <d v="2025-02-04T00:00:00"/>
    <s v="M"/>
    <x v="1"/>
    <x v="0"/>
    <x v="0"/>
    <x v="11"/>
    <n v="1"/>
    <x v="5"/>
    <x v="1"/>
  </r>
  <r>
    <s v="TX500794"/>
    <x v="7"/>
    <x v="13"/>
    <n v="66.599999999999994"/>
    <n v="399.59999999999997"/>
    <x v="33"/>
    <d v="2025-02-04T00:00:00"/>
    <s v="F"/>
    <x v="0"/>
    <x v="0"/>
    <x v="0"/>
    <x v="11"/>
    <n v="1"/>
    <x v="5"/>
    <x v="2"/>
  </r>
  <r>
    <s v="TX500795"/>
    <x v="8"/>
    <x v="1"/>
    <n v="22.6"/>
    <n v="45.2"/>
    <x v="33"/>
    <d v="2025-02-06T00:00:00"/>
    <s v="M"/>
    <x v="0"/>
    <x v="0"/>
    <x v="0"/>
    <x v="11"/>
    <n v="3"/>
    <x v="5"/>
    <x v="1"/>
  </r>
  <r>
    <s v="TX500796"/>
    <x v="2"/>
    <x v="16"/>
    <n v="66.8"/>
    <n v="1202.3999999999999"/>
    <x v="33"/>
    <d v="2025-02-04T00:00:00"/>
    <s v="F"/>
    <x v="0"/>
    <x v="4"/>
    <x v="0"/>
    <x v="13"/>
    <n v="1"/>
    <x v="5"/>
    <x v="2"/>
  </r>
  <r>
    <s v="TX500797"/>
    <x v="0"/>
    <x v="12"/>
    <n v="20.8"/>
    <n v="83.2"/>
    <x v="33"/>
    <d v="2025-02-10T00:00:00"/>
    <s v="M"/>
    <x v="1"/>
    <x v="4"/>
    <x v="0"/>
    <x v="1"/>
    <n v="7"/>
    <x v="5"/>
    <x v="1"/>
  </r>
  <r>
    <s v="TX500798"/>
    <x v="2"/>
    <x v="3"/>
    <n v="102.5"/>
    <n v="717.5"/>
    <x v="33"/>
    <d v="2025-02-04T00:00:00"/>
    <s v="F"/>
    <x v="4"/>
    <x v="2"/>
    <x v="0"/>
    <x v="3"/>
    <n v="1"/>
    <x v="5"/>
    <x v="2"/>
  </r>
  <r>
    <s v="TX500799"/>
    <x v="0"/>
    <x v="16"/>
    <n v="24.8"/>
    <n v="446.40000000000003"/>
    <x v="33"/>
    <d v="2025-02-07T00:00:00"/>
    <s v="F"/>
    <x v="0"/>
    <x v="0"/>
    <x v="0"/>
    <x v="3"/>
    <n v="4"/>
    <x v="5"/>
    <x v="2"/>
  </r>
  <r>
    <s v="TX500800"/>
    <x v="4"/>
    <x v="37"/>
    <n v="31.4"/>
    <n v="973.4"/>
    <x v="33"/>
    <d v="2025-02-04T00:00:00"/>
    <s v="F"/>
    <x v="3"/>
    <x v="0"/>
    <x v="0"/>
    <x v="3"/>
    <n v="1"/>
    <x v="5"/>
    <x v="2"/>
  </r>
  <r>
    <s v="TX500801"/>
    <x v="9"/>
    <x v="9"/>
    <n v="59.3"/>
    <n v="296.5"/>
    <x v="33"/>
    <d v="2025-02-06T00:00:00"/>
    <s v="M"/>
    <x v="1"/>
    <x v="2"/>
    <x v="0"/>
    <x v="43"/>
    <n v="3"/>
    <x v="5"/>
    <x v="1"/>
  </r>
  <r>
    <s v="TX500802"/>
    <x v="11"/>
    <x v="13"/>
    <n v="39"/>
    <n v="234"/>
    <x v="33"/>
    <d v="2025-02-06T00:00:00"/>
    <s v="M"/>
    <x v="1"/>
    <x v="0"/>
    <x v="0"/>
    <x v="6"/>
    <n v="3"/>
    <x v="5"/>
    <x v="1"/>
  </r>
  <r>
    <s v="TX500803"/>
    <x v="5"/>
    <x v="13"/>
    <n v="98.6"/>
    <n v="591.59999999999991"/>
    <x v="33"/>
    <d v="2025-02-05T00:00:00"/>
    <s v="F"/>
    <x v="1"/>
    <x v="0"/>
    <x v="0"/>
    <x v="6"/>
    <n v="2"/>
    <x v="5"/>
    <x v="2"/>
  </r>
  <r>
    <s v="TX500804"/>
    <x v="8"/>
    <x v="0"/>
    <n v="20"/>
    <n v="20"/>
    <x v="34"/>
    <d v="2025-02-05T00:00:00"/>
    <s v="M"/>
    <x v="3"/>
    <x v="2"/>
    <x v="0"/>
    <x v="8"/>
    <n v="1"/>
    <x v="5"/>
    <x v="1"/>
  </r>
  <r>
    <s v="TX500805"/>
    <x v="1"/>
    <x v="1"/>
    <n v="42.9"/>
    <n v="85.8"/>
    <x v="34"/>
    <d v="2025-02-06T00:00:00"/>
    <s v="F"/>
    <x v="0"/>
    <x v="2"/>
    <x v="0"/>
    <x v="8"/>
    <n v="2"/>
    <x v="5"/>
    <x v="2"/>
  </r>
  <r>
    <s v="TX500806"/>
    <x v="7"/>
    <x v="3"/>
    <n v="55.6"/>
    <n v="389.2"/>
    <x v="34"/>
    <d v="2025-02-06T00:00:00"/>
    <s v="F"/>
    <x v="2"/>
    <x v="1"/>
    <x v="0"/>
    <x v="8"/>
    <n v="2"/>
    <x v="5"/>
    <x v="2"/>
  </r>
  <r>
    <s v="TX500807"/>
    <x v="8"/>
    <x v="12"/>
    <n v="19.2"/>
    <n v="76.8"/>
    <x v="34"/>
    <d v="2025-02-09T00:00:00"/>
    <s v="F"/>
    <x v="0"/>
    <x v="0"/>
    <x v="0"/>
    <x v="41"/>
    <n v="5"/>
    <x v="5"/>
    <x v="2"/>
  </r>
  <r>
    <s v="TX500808"/>
    <x v="5"/>
    <x v="1"/>
    <n v="28.8"/>
    <n v="57.6"/>
    <x v="34"/>
    <d v="2025-02-06T00:00:00"/>
    <s v="M"/>
    <x v="1"/>
    <x v="0"/>
    <x v="0"/>
    <x v="18"/>
    <n v="2"/>
    <x v="5"/>
    <x v="1"/>
  </r>
  <r>
    <s v="TX500809"/>
    <x v="4"/>
    <x v="0"/>
    <n v="29.7"/>
    <n v="29.7"/>
    <x v="34"/>
    <d v="2025-02-06T00:00:00"/>
    <s v="F"/>
    <x v="2"/>
    <x v="4"/>
    <x v="0"/>
    <x v="20"/>
    <n v="2"/>
    <x v="5"/>
    <x v="2"/>
  </r>
  <r>
    <s v="TX500810"/>
    <x v="6"/>
    <x v="13"/>
    <n v="63.3"/>
    <n v="379.79999999999995"/>
    <x v="34"/>
    <d v="2025-02-05T00:00:00"/>
    <s v=""/>
    <x v="0"/>
    <x v="2"/>
    <x v="0"/>
    <x v="21"/>
    <n v="1"/>
    <x v="5"/>
    <x v="0"/>
  </r>
  <r>
    <s v="TX500811"/>
    <x v="4"/>
    <x v="0"/>
    <n v="46"/>
    <n v="46"/>
    <x v="34"/>
    <d v="2025-02-05T00:00:00"/>
    <s v="F"/>
    <x v="0"/>
    <x v="2"/>
    <x v="0"/>
    <x v="21"/>
    <n v="1"/>
    <x v="5"/>
    <x v="2"/>
  </r>
  <r>
    <s v="TX500812"/>
    <x v="11"/>
    <x v="2"/>
    <n v="38"/>
    <n v="114"/>
    <x v="34"/>
    <d v="2025-02-06T00:00:00"/>
    <s v="F"/>
    <x v="1"/>
    <x v="2"/>
    <x v="0"/>
    <x v="21"/>
    <n v="2"/>
    <x v="5"/>
    <x v="2"/>
  </r>
  <r>
    <s v="TX500813"/>
    <x v="10"/>
    <x v="15"/>
    <n v="34.6"/>
    <n v="449.8"/>
    <x v="34"/>
    <d v="2025-02-06T00:00:00"/>
    <s v="F"/>
    <x v="0"/>
    <x v="1"/>
    <x v="0"/>
    <x v="21"/>
    <n v="2"/>
    <x v="5"/>
    <x v="2"/>
  </r>
  <r>
    <s v="TX500814"/>
    <x v="3"/>
    <x v="7"/>
    <n v="79.7"/>
    <n v="797"/>
    <x v="34"/>
    <d v="2025-02-05T00:00:00"/>
    <s v="F"/>
    <x v="4"/>
    <x v="1"/>
    <x v="0"/>
    <x v="21"/>
    <n v="1"/>
    <x v="5"/>
    <x v="2"/>
  </r>
  <r>
    <s v="TX500815"/>
    <x v="8"/>
    <x v="8"/>
    <n v="30.5"/>
    <n v="244"/>
    <x v="34"/>
    <d v="2025-02-08T00:00:00"/>
    <s v="M"/>
    <x v="3"/>
    <x v="0"/>
    <x v="0"/>
    <x v="1"/>
    <n v="4"/>
    <x v="5"/>
    <x v="1"/>
  </r>
  <r>
    <s v="TX500816"/>
    <x v="0"/>
    <x v="1"/>
    <n v="20.8"/>
    <n v="41.6"/>
    <x v="34"/>
    <d v="2025-02-05T00:00:00"/>
    <s v="F"/>
    <x v="0"/>
    <x v="0"/>
    <x v="0"/>
    <x v="2"/>
    <n v="1"/>
    <x v="5"/>
    <x v="2"/>
  </r>
  <r>
    <s v="TX500817"/>
    <x v="11"/>
    <x v="3"/>
    <n v="48.5"/>
    <n v="339.5"/>
    <x v="34"/>
    <d v="2025-02-08T00:00:00"/>
    <s v="F"/>
    <x v="2"/>
    <x v="2"/>
    <x v="0"/>
    <x v="2"/>
    <n v="4"/>
    <x v="5"/>
    <x v="2"/>
  </r>
  <r>
    <s v="TX500818"/>
    <x v="2"/>
    <x v="12"/>
    <n v="61.8"/>
    <n v="247.2"/>
    <x v="34"/>
    <d v="2025-02-08T00:00:00"/>
    <s v="F"/>
    <x v="4"/>
    <x v="0"/>
    <x v="0"/>
    <x v="22"/>
    <n v="4"/>
    <x v="5"/>
    <x v="2"/>
  </r>
  <r>
    <s v="TX500819"/>
    <x v="10"/>
    <x v="0"/>
    <n v="46.1"/>
    <n v="46.1"/>
    <x v="34"/>
    <d v="2025-02-05T00:00:00"/>
    <s v="O"/>
    <x v="2"/>
    <x v="0"/>
    <x v="0"/>
    <x v="3"/>
    <n v="1"/>
    <x v="5"/>
    <x v="3"/>
  </r>
  <r>
    <s v="TX500820"/>
    <x v="4"/>
    <x v="13"/>
    <n v="44"/>
    <n v="264"/>
    <x v="34"/>
    <d v="2025-02-05T00:00:00"/>
    <s v="F"/>
    <x v="0"/>
    <x v="0"/>
    <x v="0"/>
    <x v="3"/>
    <n v="1"/>
    <x v="5"/>
    <x v="2"/>
  </r>
  <r>
    <s v="TX500821"/>
    <x v="18"/>
    <x v="1"/>
    <n v="95.7"/>
    <n v="191.4"/>
    <x v="34"/>
    <d v="2025-02-10T00:00:00"/>
    <s v="F"/>
    <x v="3"/>
    <x v="2"/>
    <x v="0"/>
    <x v="3"/>
    <n v="6"/>
    <x v="5"/>
    <x v="2"/>
  </r>
  <r>
    <s v="TX500822"/>
    <x v="7"/>
    <x v="9"/>
    <n v="46.4"/>
    <n v="232"/>
    <x v="34"/>
    <d v="2025-02-07T00:00:00"/>
    <s v="F"/>
    <x v="0"/>
    <x v="0"/>
    <x v="0"/>
    <x v="3"/>
    <n v="3"/>
    <x v="5"/>
    <x v="2"/>
  </r>
  <r>
    <s v="TX500823"/>
    <x v="6"/>
    <x v="1"/>
    <n v="47.2"/>
    <n v="94.4"/>
    <x v="34"/>
    <d v="2025-02-06T00:00:00"/>
    <s v="F"/>
    <x v="0"/>
    <x v="2"/>
    <x v="0"/>
    <x v="3"/>
    <n v="2"/>
    <x v="5"/>
    <x v="2"/>
  </r>
  <r>
    <s v="TX500824"/>
    <x v="7"/>
    <x v="1"/>
    <n v="58.6"/>
    <n v="117.2"/>
    <x v="34"/>
    <d v="2025-02-05T00:00:00"/>
    <s v="F"/>
    <x v="2"/>
    <x v="1"/>
    <x v="0"/>
    <x v="3"/>
    <n v="1"/>
    <x v="5"/>
    <x v="2"/>
  </r>
  <r>
    <s v="TX500825"/>
    <x v="4"/>
    <x v="2"/>
    <n v="57"/>
    <n v="171"/>
    <x v="34"/>
    <d v="2025-02-05T00:00:00"/>
    <s v="M"/>
    <x v="0"/>
    <x v="2"/>
    <x v="0"/>
    <x v="3"/>
    <n v="1"/>
    <x v="5"/>
    <x v="1"/>
  </r>
  <r>
    <s v="TX500826"/>
    <x v="8"/>
    <x v="12"/>
    <n v="28.9"/>
    <n v="115.6"/>
    <x v="34"/>
    <d v="2025-02-08T00:00:00"/>
    <s v="M"/>
    <x v="2"/>
    <x v="0"/>
    <x v="0"/>
    <x v="3"/>
    <n v="4"/>
    <x v="5"/>
    <x v="1"/>
  </r>
  <r>
    <s v="TX500827"/>
    <x v="12"/>
    <x v="9"/>
    <n v="60.7"/>
    <n v="303.5"/>
    <x v="34"/>
    <d v="2025-02-08T00:00:00"/>
    <s v=""/>
    <x v="1"/>
    <x v="1"/>
    <x v="0"/>
    <x v="3"/>
    <n v="4"/>
    <x v="5"/>
    <x v="0"/>
  </r>
  <r>
    <s v="TX500828"/>
    <x v="6"/>
    <x v="9"/>
    <n v="60.8"/>
    <n v="304"/>
    <x v="34"/>
    <d v="2025-02-08T00:00:00"/>
    <s v="M"/>
    <x v="0"/>
    <x v="1"/>
    <x v="0"/>
    <x v="3"/>
    <n v="4"/>
    <x v="5"/>
    <x v="1"/>
  </r>
  <r>
    <s v="TX500829"/>
    <x v="6"/>
    <x v="9"/>
    <n v="64.599999999999994"/>
    <n v="323"/>
    <x v="34"/>
    <d v="2025-02-05T00:00:00"/>
    <s v="F"/>
    <x v="3"/>
    <x v="0"/>
    <x v="0"/>
    <x v="3"/>
    <n v="1"/>
    <x v="5"/>
    <x v="2"/>
  </r>
  <r>
    <s v="TX500830"/>
    <x v="8"/>
    <x v="0"/>
    <n v="21.9"/>
    <n v="21.9"/>
    <x v="34"/>
    <d v="2025-02-07T00:00:00"/>
    <s v="M"/>
    <x v="1"/>
    <x v="2"/>
    <x v="0"/>
    <x v="4"/>
    <n v="3"/>
    <x v="5"/>
    <x v="1"/>
  </r>
  <r>
    <s v="TX500831"/>
    <x v="4"/>
    <x v="4"/>
    <n v="33.4"/>
    <n v="400.79999999999995"/>
    <x v="34"/>
    <d v="2025-02-06T00:00:00"/>
    <s v="F"/>
    <x v="0"/>
    <x v="0"/>
    <x v="0"/>
    <x v="23"/>
    <n v="2"/>
    <x v="5"/>
    <x v="2"/>
  </r>
  <r>
    <s v="TX500832"/>
    <x v="2"/>
    <x v="0"/>
    <n v="51.7"/>
    <n v="51.7"/>
    <x v="34"/>
    <d v="2025-02-05T00:00:00"/>
    <s v=""/>
    <x v="0"/>
    <x v="0"/>
    <x v="0"/>
    <x v="6"/>
    <n v="1"/>
    <x v="5"/>
    <x v="0"/>
  </r>
  <r>
    <s v="TX500833"/>
    <x v="1"/>
    <x v="12"/>
    <n v="84.9"/>
    <n v="339.6"/>
    <x v="34"/>
    <d v="2025-02-05T00:00:00"/>
    <s v="F"/>
    <x v="1"/>
    <x v="1"/>
    <x v="0"/>
    <x v="6"/>
    <n v="1"/>
    <x v="5"/>
    <x v="2"/>
  </r>
  <r>
    <s v="TX500834"/>
    <x v="1"/>
    <x v="5"/>
    <n v="62.3"/>
    <n v="685.3"/>
    <x v="34"/>
    <d v="2025-02-05T00:00:00"/>
    <s v="F"/>
    <x v="2"/>
    <x v="2"/>
    <x v="0"/>
    <x v="7"/>
    <n v="1"/>
    <x v="5"/>
    <x v="2"/>
  </r>
  <r>
    <s v="TX500835"/>
    <x v="4"/>
    <x v="0"/>
    <n v="50.7"/>
    <n v="50.7"/>
    <x v="34"/>
    <d v="2025-02-06T00:00:00"/>
    <s v="M"/>
    <x v="2"/>
    <x v="2"/>
    <x v="0"/>
    <x v="8"/>
    <n v="2"/>
    <x v="5"/>
    <x v="1"/>
  </r>
  <r>
    <s v="TX500836"/>
    <x v="18"/>
    <x v="0"/>
    <n v="39.5"/>
    <n v="39.5"/>
    <x v="34"/>
    <d v="2025-02-05T00:00:00"/>
    <s v="M"/>
    <x v="4"/>
    <x v="1"/>
    <x v="0"/>
    <x v="8"/>
    <n v="1"/>
    <x v="5"/>
    <x v="1"/>
  </r>
  <r>
    <s v="TX500837"/>
    <x v="12"/>
    <x v="2"/>
    <n v="30.9"/>
    <n v="92.699999999999989"/>
    <x v="34"/>
    <d v="2025-02-05T00:00:00"/>
    <s v=""/>
    <x v="4"/>
    <x v="2"/>
    <x v="0"/>
    <x v="8"/>
    <n v="1"/>
    <x v="5"/>
    <x v="0"/>
  </r>
  <r>
    <s v="TX500838"/>
    <x v="1"/>
    <x v="3"/>
    <n v="36.4"/>
    <n v="254.79999999999998"/>
    <x v="34"/>
    <d v="2025-02-07T00:00:00"/>
    <s v="F"/>
    <x v="0"/>
    <x v="2"/>
    <x v="0"/>
    <x v="8"/>
    <n v="3"/>
    <x v="5"/>
    <x v="2"/>
  </r>
  <r>
    <s v="TX500839"/>
    <x v="6"/>
    <x v="8"/>
    <n v="105.6"/>
    <n v="844.8"/>
    <x v="34"/>
    <d v="2025-02-14T00:00:00"/>
    <s v="F"/>
    <x v="0"/>
    <x v="0"/>
    <x v="0"/>
    <x v="8"/>
    <n v="10"/>
    <x v="5"/>
    <x v="2"/>
  </r>
  <r>
    <s v="TX500840"/>
    <x v="8"/>
    <x v="1"/>
    <n v="22.1"/>
    <n v="44.2"/>
    <x v="34"/>
    <d v="2025-02-05T00:00:00"/>
    <s v="F"/>
    <x v="0"/>
    <x v="2"/>
    <x v="0"/>
    <x v="17"/>
    <n v="1"/>
    <x v="5"/>
    <x v="2"/>
  </r>
  <r>
    <s v="TX500841"/>
    <x v="0"/>
    <x v="2"/>
    <n v="22.6"/>
    <n v="67.800000000000011"/>
    <x v="34"/>
    <d v="2025-02-05T00:00:00"/>
    <s v="F"/>
    <x v="2"/>
    <x v="0"/>
    <x v="0"/>
    <x v="17"/>
    <n v="1"/>
    <x v="5"/>
    <x v="2"/>
  </r>
  <r>
    <s v="TX500842"/>
    <x v="10"/>
    <x v="13"/>
    <n v="26.3"/>
    <n v="157.80000000000001"/>
    <x v="34"/>
    <d v="2025-02-04T00:00:00"/>
    <s v="F"/>
    <x v="2"/>
    <x v="0"/>
    <x v="0"/>
    <x v="9"/>
    <n v="0"/>
    <x v="5"/>
    <x v="2"/>
  </r>
  <r>
    <s v="TX500843"/>
    <x v="1"/>
    <x v="12"/>
    <n v="37.799999999999997"/>
    <n v="151.19999999999999"/>
    <x v="34"/>
    <d v="2025-02-05T00:00:00"/>
    <s v="F"/>
    <x v="0"/>
    <x v="2"/>
    <x v="0"/>
    <x v="11"/>
    <n v="1"/>
    <x v="5"/>
    <x v="2"/>
  </r>
  <r>
    <s v="TX500844"/>
    <x v="6"/>
    <x v="14"/>
    <n v="96"/>
    <n v="1632"/>
    <x v="34"/>
    <d v="2025-02-07T00:00:00"/>
    <s v="F"/>
    <x v="4"/>
    <x v="1"/>
    <x v="0"/>
    <x v="18"/>
    <n v="3"/>
    <x v="5"/>
    <x v="2"/>
  </r>
  <r>
    <s v="TX500845"/>
    <x v="1"/>
    <x v="0"/>
    <n v="83.6"/>
    <n v="83.6"/>
    <x v="34"/>
    <d v="2025-02-07T00:00:00"/>
    <s v="F"/>
    <x v="2"/>
    <x v="1"/>
    <x v="0"/>
    <x v="19"/>
    <n v="3"/>
    <x v="5"/>
    <x v="2"/>
  </r>
  <r>
    <s v="TX500846"/>
    <x v="2"/>
    <x v="13"/>
    <n v="72.599999999999994"/>
    <n v="435.59999999999997"/>
    <x v="34"/>
    <d v="2025-02-05T00:00:00"/>
    <s v="F"/>
    <x v="0"/>
    <x v="0"/>
    <x v="0"/>
    <x v="21"/>
    <n v="1"/>
    <x v="5"/>
    <x v="2"/>
  </r>
  <r>
    <s v="TX500847"/>
    <x v="5"/>
    <x v="28"/>
    <n v="69.099999999999994"/>
    <n v="1382"/>
    <x v="35"/>
    <d v="2025-02-11T00:00:00"/>
    <s v="M"/>
    <x v="0"/>
    <x v="2"/>
    <x v="0"/>
    <x v="21"/>
    <n v="6"/>
    <x v="5"/>
    <x v="1"/>
  </r>
  <r>
    <s v="TX500848"/>
    <x v="4"/>
    <x v="1"/>
    <n v="22.6"/>
    <n v="45.2"/>
    <x v="35"/>
    <d v="2025-02-07T00:00:00"/>
    <s v="F"/>
    <x v="1"/>
    <x v="2"/>
    <x v="0"/>
    <x v="21"/>
    <n v="2"/>
    <x v="5"/>
    <x v="2"/>
  </r>
  <r>
    <s v="TX500849"/>
    <x v="6"/>
    <x v="1"/>
    <n v="45.3"/>
    <n v="90.6"/>
    <x v="35"/>
    <d v="2025-02-09T00:00:00"/>
    <s v="M"/>
    <x v="4"/>
    <x v="2"/>
    <x v="0"/>
    <x v="21"/>
    <n v="4"/>
    <x v="5"/>
    <x v="1"/>
  </r>
  <r>
    <s v="TX500850"/>
    <x v="2"/>
    <x v="1"/>
    <n v="115.1"/>
    <n v="230.2"/>
    <x v="35"/>
    <d v="2025-02-06T00:00:00"/>
    <s v="F"/>
    <x v="1"/>
    <x v="0"/>
    <x v="0"/>
    <x v="1"/>
    <n v="1"/>
    <x v="5"/>
    <x v="2"/>
  </r>
  <r>
    <s v="TX500851"/>
    <x v="18"/>
    <x v="12"/>
    <n v="79"/>
    <n v="316"/>
    <x v="35"/>
    <d v="2025-02-07T00:00:00"/>
    <s v="M"/>
    <x v="2"/>
    <x v="4"/>
    <x v="0"/>
    <x v="1"/>
    <n v="2"/>
    <x v="5"/>
    <x v="1"/>
  </r>
  <r>
    <s v="TX500852"/>
    <x v="6"/>
    <x v="9"/>
    <n v="52.8"/>
    <n v="264"/>
    <x v="35"/>
    <d v="2025-02-06T00:00:00"/>
    <s v="F"/>
    <x v="0"/>
    <x v="0"/>
    <x v="0"/>
    <x v="42"/>
    <n v="1"/>
    <x v="5"/>
    <x v="2"/>
  </r>
  <r>
    <s v="TX500853"/>
    <x v="8"/>
    <x v="1"/>
    <n v="34.1"/>
    <n v="68.2"/>
    <x v="35"/>
    <d v="2025-02-06T00:00:00"/>
    <s v="M"/>
    <x v="3"/>
    <x v="2"/>
    <x v="0"/>
    <x v="44"/>
    <n v="1"/>
    <x v="5"/>
    <x v="1"/>
  </r>
  <r>
    <s v="TX500854"/>
    <x v="6"/>
    <x v="9"/>
    <n v="107.9"/>
    <n v="539.5"/>
    <x v="35"/>
    <d v="2025-02-05T00:00:00"/>
    <s v="F"/>
    <x v="0"/>
    <x v="2"/>
    <x v="0"/>
    <x v="50"/>
    <n v="0"/>
    <x v="5"/>
    <x v="2"/>
  </r>
  <r>
    <s v="TX500855"/>
    <x v="8"/>
    <x v="15"/>
    <n v="48.5"/>
    <n v="630.5"/>
    <x v="35"/>
    <d v="2025-02-05T00:00:00"/>
    <s v="M"/>
    <x v="2"/>
    <x v="2"/>
    <x v="0"/>
    <x v="3"/>
    <n v="0"/>
    <x v="5"/>
    <x v="1"/>
  </r>
  <r>
    <s v="TX500856"/>
    <x v="5"/>
    <x v="2"/>
    <n v="34.700000000000003"/>
    <n v="104.10000000000001"/>
    <x v="35"/>
    <d v="2025-02-06T00:00:00"/>
    <s v=""/>
    <x v="4"/>
    <x v="1"/>
    <x v="0"/>
    <x v="3"/>
    <n v="1"/>
    <x v="5"/>
    <x v="0"/>
  </r>
  <r>
    <s v="TX500857"/>
    <x v="8"/>
    <x v="0"/>
    <n v="16.8"/>
    <n v="16.8"/>
    <x v="35"/>
    <d v="2025-02-07T00:00:00"/>
    <s v="F"/>
    <x v="3"/>
    <x v="0"/>
    <x v="0"/>
    <x v="3"/>
    <n v="2"/>
    <x v="5"/>
    <x v="2"/>
  </r>
  <r>
    <s v="TX500858"/>
    <x v="8"/>
    <x v="13"/>
    <n v="18.3"/>
    <n v="109.80000000000001"/>
    <x v="35"/>
    <d v="2025-02-08T00:00:00"/>
    <s v="F"/>
    <x v="0"/>
    <x v="0"/>
    <x v="0"/>
    <x v="3"/>
    <n v="3"/>
    <x v="5"/>
    <x v="2"/>
  </r>
  <r>
    <s v="TX500859"/>
    <x v="18"/>
    <x v="2"/>
    <n v="55.9"/>
    <n v="167.7"/>
    <x v="35"/>
    <d v="2025-02-11T00:00:00"/>
    <s v="M"/>
    <x v="3"/>
    <x v="1"/>
    <x v="0"/>
    <x v="3"/>
    <n v="6"/>
    <x v="5"/>
    <x v="1"/>
  </r>
  <r>
    <s v="TX500860"/>
    <x v="8"/>
    <x v="2"/>
    <n v="39.200000000000003"/>
    <n v="117.60000000000001"/>
    <x v="35"/>
    <d v="2025-02-07T00:00:00"/>
    <s v="F"/>
    <x v="0"/>
    <x v="1"/>
    <x v="0"/>
    <x v="3"/>
    <n v="2"/>
    <x v="5"/>
    <x v="2"/>
  </r>
  <r>
    <s v="TX500861"/>
    <x v="15"/>
    <x v="12"/>
    <n v="66.5"/>
    <n v="266"/>
    <x v="35"/>
    <d v="2025-02-07T00:00:00"/>
    <s v=""/>
    <x v="3"/>
    <x v="1"/>
    <x v="0"/>
    <x v="3"/>
    <n v="2"/>
    <x v="5"/>
    <x v="0"/>
  </r>
  <r>
    <s v="TX500862"/>
    <x v="6"/>
    <x v="13"/>
    <n v="52.1"/>
    <n v="312.60000000000002"/>
    <x v="35"/>
    <d v="2025-02-07T00:00:00"/>
    <s v="M"/>
    <x v="1"/>
    <x v="1"/>
    <x v="0"/>
    <x v="16"/>
    <n v="2"/>
    <x v="5"/>
    <x v="1"/>
  </r>
  <r>
    <s v="TX500863"/>
    <x v="8"/>
    <x v="1"/>
    <n v="19"/>
    <n v="38"/>
    <x v="35"/>
    <d v="2025-02-06T00:00:00"/>
    <s v="M"/>
    <x v="4"/>
    <x v="2"/>
    <x v="0"/>
    <x v="6"/>
    <n v="1"/>
    <x v="5"/>
    <x v="1"/>
  </r>
  <r>
    <s v="TX500864"/>
    <x v="7"/>
    <x v="2"/>
    <n v="84.8"/>
    <n v="254.39999999999998"/>
    <x v="35"/>
    <d v="2025-02-07T00:00:00"/>
    <s v="F"/>
    <x v="2"/>
    <x v="0"/>
    <x v="0"/>
    <x v="8"/>
    <n v="2"/>
    <x v="5"/>
    <x v="2"/>
  </r>
  <r>
    <s v="TX500865"/>
    <x v="2"/>
    <x v="12"/>
    <n v="63.9"/>
    <n v="255.6"/>
    <x v="35"/>
    <d v="2025-02-08T00:00:00"/>
    <s v="F"/>
    <x v="0"/>
    <x v="0"/>
    <x v="0"/>
    <x v="8"/>
    <n v="3"/>
    <x v="5"/>
    <x v="2"/>
  </r>
  <r>
    <s v="TX500866"/>
    <x v="2"/>
    <x v="2"/>
    <n v="65.5"/>
    <n v="196.5"/>
    <x v="35"/>
    <d v="2025-02-05T00:00:00"/>
    <s v="F"/>
    <x v="1"/>
    <x v="1"/>
    <x v="0"/>
    <x v="8"/>
    <n v="0"/>
    <x v="5"/>
    <x v="2"/>
  </r>
  <r>
    <s v="TX500867"/>
    <x v="12"/>
    <x v="1"/>
    <n v="116.2"/>
    <n v="232.4"/>
    <x v="35"/>
    <d v="2025-02-11T00:00:00"/>
    <s v="M"/>
    <x v="3"/>
    <x v="0"/>
    <x v="0"/>
    <x v="17"/>
    <n v="6"/>
    <x v="5"/>
    <x v="1"/>
  </r>
  <r>
    <s v="TX500868"/>
    <x v="10"/>
    <x v="12"/>
    <n v="22.9"/>
    <n v="91.6"/>
    <x v="35"/>
    <d v="2025-02-07T00:00:00"/>
    <s v="F"/>
    <x v="2"/>
    <x v="1"/>
    <x v="0"/>
    <x v="38"/>
    <n v="2"/>
    <x v="5"/>
    <x v="2"/>
  </r>
  <r>
    <s v="TX500869"/>
    <x v="10"/>
    <x v="2"/>
    <n v="53.7"/>
    <n v="161.10000000000002"/>
    <x v="35"/>
    <d v="2025-02-06T00:00:00"/>
    <s v="M"/>
    <x v="0"/>
    <x v="4"/>
    <x v="0"/>
    <x v="18"/>
    <n v="1"/>
    <x v="5"/>
    <x v="1"/>
  </r>
  <r>
    <s v="TX500870"/>
    <x v="6"/>
    <x v="9"/>
    <n v="43.2"/>
    <n v="216"/>
    <x v="35"/>
    <d v="2025-02-07T00:00:00"/>
    <s v="F"/>
    <x v="0"/>
    <x v="0"/>
    <x v="0"/>
    <x v="19"/>
    <n v="2"/>
    <x v="5"/>
    <x v="2"/>
  </r>
  <r>
    <s v="TX500871"/>
    <x v="1"/>
    <x v="2"/>
    <n v="84.5"/>
    <n v="253.5"/>
    <x v="35"/>
    <d v="2025-02-07T00:00:00"/>
    <s v="M"/>
    <x v="2"/>
    <x v="2"/>
    <x v="0"/>
    <x v="51"/>
    <n v="2"/>
    <x v="5"/>
    <x v="1"/>
  </r>
  <r>
    <s v="TX500872"/>
    <x v="3"/>
    <x v="1"/>
    <n v="42.2"/>
    <n v="84.4"/>
    <x v="35"/>
    <d v="2025-02-06T00:00:00"/>
    <s v="F"/>
    <x v="1"/>
    <x v="2"/>
    <x v="0"/>
    <x v="1"/>
    <n v="1"/>
    <x v="5"/>
    <x v="2"/>
  </r>
  <r>
    <s v="TX500873"/>
    <x v="2"/>
    <x v="13"/>
    <n v="94.7"/>
    <n v="568.20000000000005"/>
    <x v="35"/>
    <d v="2025-02-08T00:00:00"/>
    <s v="F"/>
    <x v="1"/>
    <x v="2"/>
    <x v="0"/>
    <x v="2"/>
    <n v="3"/>
    <x v="5"/>
    <x v="2"/>
  </r>
  <r>
    <s v="TX500874"/>
    <x v="8"/>
    <x v="16"/>
    <n v="16.7"/>
    <n v="300.59999999999997"/>
    <x v="35"/>
    <d v="2025-02-17T00:00:00"/>
    <s v="F"/>
    <x v="0"/>
    <x v="2"/>
    <x v="0"/>
    <x v="2"/>
    <n v="12"/>
    <x v="5"/>
    <x v="2"/>
  </r>
  <r>
    <s v="TX500875"/>
    <x v="2"/>
    <x v="1"/>
    <n v="83.6"/>
    <n v="167.2"/>
    <x v="35"/>
    <d v="2025-02-11T00:00:00"/>
    <s v="F"/>
    <x v="1"/>
    <x v="0"/>
    <x v="0"/>
    <x v="3"/>
    <n v="6"/>
    <x v="5"/>
    <x v="2"/>
  </r>
  <r>
    <s v="TX500876"/>
    <x v="7"/>
    <x v="13"/>
    <n v="33.6"/>
    <n v="201.60000000000002"/>
    <x v="36"/>
    <d v="2025-02-07T00:00:00"/>
    <s v="F"/>
    <x v="3"/>
    <x v="0"/>
    <x v="0"/>
    <x v="3"/>
    <n v="1"/>
    <x v="5"/>
    <x v="2"/>
  </r>
  <r>
    <s v="TX500877"/>
    <x v="7"/>
    <x v="1"/>
    <n v="64.7"/>
    <n v="129.4"/>
    <x v="36"/>
    <d v="2025-02-08T00:00:00"/>
    <s v="M"/>
    <x v="1"/>
    <x v="2"/>
    <x v="0"/>
    <x v="3"/>
    <n v="2"/>
    <x v="5"/>
    <x v="1"/>
  </r>
  <r>
    <s v="TX500878"/>
    <x v="0"/>
    <x v="2"/>
    <n v="15.7"/>
    <n v="47.099999999999994"/>
    <x v="36"/>
    <d v="2025-02-12T00:00:00"/>
    <s v="F"/>
    <x v="0"/>
    <x v="0"/>
    <x v="0"/>
    <x v="3"/>
    <n v="6"/>
    <x v="5"/>
    <x v="2"/>
  </r>
  <r>
    <s v="TX500879"/>
    <x v="15"/>
    <x v="13"/>
    <n v="49.4"/>
    <n v="296.39999999999998"/>
    <x v="36"/>
    <d v="2025-02-06T00:00:00"/>
    <s v="M"/>
    <x v="1"/>
    <x v="0"/>
    <x v="0"/>
    <x v="3"/>
    <n v="0"/>
    <x v="5"/>
    <x v="1"/>
  </r>
  <r>
    <s v="TX500880"/>
    <x v="10"/>
    <x v="13"/>
    <n v="37"/>
    <n v="222"/>
    <x v="36"/>
    <d v="2025-02-09T00:00:00"/>
    <s v="F"/>
    <x v="1"/>
    <x v="2"/>
    <x v="0"/>
    <x v="3"/>
    <n v="3"/>
    <x v="5"/>
    <x v="2"/>
  </r>
  <r>
    <s v="TX500881"/>
    <x v="2"/>
    <x v="1"/>
    <n v="83.7"/>
    <n v="167.4"/>
    <x v="36"/>
    <d v="2025-02-08T00:00:00"/>
    <s v="F"/>
    <x v="3"/>
    <x v="2"/>
    <x v="0"/>
    <x v="3"/>
    <n v="2"/>
    <x v="5"/>
    <x v="2"/>
  </r>
  <r>
    <s v="TX500882"/>
    <x v="1"/>
    <x v="9"/>
    <n v="35.1"/>
    <n v="175.5"/>
    <x v="36"/>
    <d v="2025-02-07T00:00:00"/>
    <s v="F"/>
    <x v="0"/>
    <x v="0"/>
    <x v="0"/>
    <x v="3"/>
    <n v="1"/>
    <x v="5"/>
    <x v="2"/>
  </r>
  <r>
    <s v="TX500883"/>
    <x v="16"/>
    <x v="8"/>
    <n v="74"/>
    <n v="592"/>
    <x v="36"/>
    <d v="2025-02-07T00:00:00"/>
    <s v="F"/>
    <x v="4"/>
    <x v="0"/>
    <x v="0"/>
    <x v="37"/>
    <n v="1"/>
    <x v="5"/>
    <x v="2"/>
  </r>
  <r>
    <s v="TX500884"/>
    <x v="6"/>
    <x v="25"/>
    <n v="55.5"/>
    <n v="1332"/>
    <x v="36"/>
    <d v="2025-02-09T00:00:00"/>
    <s v="M"/>
    <x v="3"/>
    <x v="0"/>
    <x v="0"/>
    <x v="49"/>
    <n v="3"/>
    <x v="5"/>
    <x v="1"/>
  </r>
  <r>
    <s v="TX500885"/>
    <x v="11"/>
    <x v="1"/>
    <n v="38.9"/>
    <n v="77.8"/>
    <x v="36"/>
    <d v="2025-02-08T00:00:00"/>
    <s v="F"/>
    <x v="1"/>
    <x v="2"/>
    <x v="0"/>
    <x v="25"/>
    <n v="2"/>
    <x v="5"/>
    <x v="2"/>
  </r>
  <r>
    <s v="TX500886"/>
    <x v="16"/>
    <x v="1"/>
    <n v="64.599999999999994"/>
    <n v="129.19999999999999"/>
    <x v="36"/>
    <d v="2025-02-13T00:00:00"/>
    <s v="M"/>
    <x v="2"/>
    <x v="1"/>
    <x v="0"/>
    <x v="25"/>
    <n v="7"/>
    <x v="5"/>
    <x v="1"/>
  </r>
  <r>
    <s v="TX500887"/>
    <x v="2"/>
    <x v="2"/>
    <n v="95.3"/>
    <n v="285.89999999999998"/>
    <x v="36"/>
    <d v="2025-02-07T00:00:00"/>
    <s v="M"/>
    <x v="0"/>
    <x v="0"/>
    <x v="0"/>
    <x v="5"/>
    <n v="1"/>
    <x v="5"/>
    <x v="1"/>
  </r>
  <r>
    <s v="TX500888"/>
    <x v="13"/>
    <x v="2"/>
    <n v="25.8"/>
    <n v="77.400000000000006"/>
    <x v="36"/>
    <d v="2025-02-07T00:00:00"/>
    <s v="F"/>
    <x v="1"/>
    <x v="1"/>
    <x v="0"/>
    <x v="6"/>
    <n v="1"/>
    <x v="5"/>
    <x v="2"/>
  </r>
  <r>
    <s v="TX500889"/>
    <x v="0"/>
    <x v="1"/>
    <n v="11.6"/>
    <n v="23.2"/>
    <x v="36"/>
    <d v="2025-02-10T00:00:00"/>
    <s v="F"/>
    <x v="1"/>
    <x v="1"/>
    <x v="0"/>
    <x v="6"/>
    <n v="4"/>
    <x v="5"/>
    <x v="2"/>
  </r>
  <r>
    <s v="TX500890"/>
    <x v="7"/>
    <x v="0"/>
    <n v="52.3"/>
    <n v="52.3"/>
    <x v="36"/>
    <d v="2025-02-07T00:00:00"/>
    <s v="F"/>
    <x v="1"/>
    <x v="0"/>
    <x v="0"/>
    <x v="8"/>
    <n v="1"/>
    <x v="5"/>
    <x v="2"/>
  </r>
  <r>
    <s v="TX500891"/>
    <x v="2"/>
    <x v="7"/>
    <n v="112.2"/>
    <n v="1122"/>
    <x v="36"/>
    <d v="2025-02-07T00:00:00"/>
    <s v="F"/>
    <x v="1"/>
    <x v="1"/>
    <x v="0"/>
    <x v="8"/>
    <n v="1"/>
    <x v="5"/>
    <x v="2"/>
  </r>
  <r>
    <s v="TX500892"/>
    <x v="4"/>
    <x v="9"/>
    <n v="34.6"/>
    <n v="173"/>
    <x v="36"/>
    <d v="2025-02-08T00:00:00"/>
    <s v="M"/>
    <x v="2"/>
    <x v="0"/>
    <x v="0"/>
    <x v="8"/>
    <n v="2"/>
    <x v="5"/>
    <x v="1"/>
  </r>
  <r>
    <s v="TX500893"/>
    <x v="14"/>
    <x v="12"/>
    <n v="20.100000000000001"/>
    <n v="80.400000000000006"/>
    <x v="36"/>
    <d v="2025-02-12T00:00:00"/>
    <s v="M"/>
    <x v="1"/>
    <x v="2"/>
    <x v="0"/>
    <x v="8"/>
    <n v="6"/>
    <x v="5"/>
    <x v="1"/>
  </r>
  <r>
    <s v="TX500894"/>
    <x v="2"/>
    <x v="12"/>
    <n v="56.4"/>
    <n v="225.6"/>
    <x v="36"/>
    <d v="2025-02-08T00:00:00"/>
    <s v="F"/>
    <x v="2"/>
    <x v="0"/>
    <x v="0"/>
    <x v="10"/>
    <n v="2"/>
    <x v="5"/>
    <x v="2"/>
  </r>
  <r>
    <s v="TX500895"/>
    <x v="13"/>
    <x v="11"/>
    <n v="55.3"/>
    <n v="497.7"/>
    <x v="36"/>
    <d v="2025-02-08T00:00:00"/>
    <s v="F"/>
    <x v="1"/>
    <x v="4"/>
    <x v="0"/>
    <x v="11"/>
    <n v="2"/>
    <x v="5"/>
    <x v="2"/>
  </r>
  <r>
    <s v="TX500896"/>
    <x v="2"/>
    <x v="31"/>
    <n v="75.5"/>
    <n v="2114"/>
    <x v="36"/>
    <d v="2025-02-07T00:00:00"/>
    <s v="F"/>
    <x v="0"/>
    <x v="0"/>
    <x v="0"/>
    <x v="11"/>
    <n v="1"/>
    <x v="5"/>
    <x v="2"/>
  </r>
  <r>
    <s v="TX500897"/>
    <x v="8"/>
    <x v="0"/>
    <n v="23.6"/>
    <n v="23.6"/>
    <x v="36"/>
    <d v="2025-02-11T00:00:00"/>
    <s v="F"/>
    <x v="0"/>
    <x v="0"/>
    <x v="0"/>
    <x v="19"/>
    <n v="5"/>
    <x v="5"/>
    <x v="2"/>
  </r>
  <r>
    <s v="TX500898"/>
    <x v="9"/>
    <x v="1"/>
    <n v="70.7"/>
    <n v="141.4"/>
    <x v="36"/>
    <d v="2025-02-08T00:00:00"/>
    <s v="F"/>
    <x v="2"/>
    <x v="0"/>
    <x v="0"/>
    <x v="19"/>
    <n v="2"/>
    <x v="5"/>
    <x v="2"/>
  </r>
  <r>
    <s v="TX500899"/>
    <x v="12"/>
    <x v="1"/>
    <n v="43.2"/>
    <n v="86.4"/>
    <x v="36"/>
    <d v="2025-02-07T00:00:00"/>
    <s v="F"/>
    <x v="2"/>
    <x v="0"/>
    <x v="0"/>
    <x v="31"/>
    <n v="1"/>
    <x v="5"/>
    <x v="2"/>
  </r>
  <r>
    <s v="TX500900"/>
    <x v="9"/>
    <x v="11"/>
    <n v="70"/>
    <n v="630"/>
    <x v="36"/>
    <d v="2025-02-07T00:00:00"/>
    <s v=""/>
    <x v="1"/>
    <x v="0"/>
    <x v="0"/>
    <x v="52"/>
    <n v="1"/>
    <x v="5"/>
    <x v="0"/>
  </r>
  <r>
    <s v="TX500901"/>
    <x v="0"/>
    <x v="1"/>
    <n v="20.5"/>
    <n v="41"/>
    <x v="36"/>
    <d v="2025-02-08T00:00:00"/>
    <s v="F"/>
    <x v="2"/>
    <x v="4"/>
    <x v="0"/>
    <x v="13"/>
    <n v="2"/>
    <x v="5"/>
    <x v="2"/>
  </r>
  <r>
    <s v="TX500902"/>
    <x v="0"/>
    <x v="12"/>
    <n v="29.1"/>
    <n v="116.4"/>
    <x v="36"/>
    <d v="2025-02-07T00:00:00"/>
    <s v="F"/>
    <x v="3"/>
    <x v="0"/>
    <x v="0"/>
    <x v="28"/>
    <n v="1"/>
    <x v="5"/>
    <x v="2"/>
  </r>
  <r>
    <s v="TX500903"/>
    <x v="6"/>
    <x v="11"/>
    <n v="53.6"/>
    <n v="482.40000000000003"/>
    <x v="36"/>
    <d v="2025-02-07T00:00:00"/>
    <s v="M"/>
    <x v="2"/>
    <x v="1"/>
    <x v="0"/>
    <x v="3"/>
    <n v="1"/>
    <x v="5"/>
    <x v="1"/>
  </r>
  <r>
    <s v="TX500904"/>
    <x v="6"/>
    <x v="9"/>
    <n v="72.3"/>
    <n v="361.5"/>
    <x v="36"/>
    <d v="2025-02-08T00:00:00"/>
    <s v="F"/>
    <x v="1"/>
    <x v="0"/>
    <x v="0"/>
    <x v="3"/>
    <n v="2"/>
    <x v="5"/>
    <x v="2"/>
  </r>
  <r>
    <s v="TX500905"/>
    <x v="13"/>
    <x v="12"/>
    <n v="22.6"/>
    <n v="90.4"/>
    <x v="36"/>
    <d v="2025-02-09T00:00:00"/>
    <s v="O"/>
    <x v="0"/>
    <x v="1"/>
    <x v="0"/>
    <x v="3"/>
    <n v="3"/>
    <x v="5"/>
    <x v="3"/>
  </r>
  <r>
    <s v="TX500906"/>
    <x v="9"/>
    <x v="1"/>
    <n v="44.2"/>
    <n v="88.4"/>
    <x v="36"/>
    <d v="2025-02-10T00:00:00"/>
    <s v=""/>
    <x v="2"/>
    <x v="4"/>
    <x v="0"/>
    <x v="3"/>
    <n v="4"/>
    <x v="5"/>
    <x v="0"/>
  </r>
  <r>
    <s v="TX500907"/>
    <x v="9"/>
    <x v="2"/>
    <n v="94.1"/>
    <n v="282.29999999999995"/>
    <x v="36"/>
    <d v="2025-02-19T00:00:00"/>
    <s v="F"/>
    <x v="2"/>
    <x v="2"/>
    <x v="0"/>
    <x v="3"/>
    <n v="13"/>
    <x v="5"/>
    <x v="2"/>
  </r>
  <r>
    <s v="TX500908"/>
    <x v="8"/>
    <x v="2"/>
    <n v="17.899999999999999"/>
    <n v="53.699999999999996"/>
    <x v="36"/>
    <d v="2025-02-08T00:00:00"/>
    <s v="M"/>
    <x v="1"/>
    <x v="1"/>
    <x v="0"/>
    <x v="3"/>
    <n v="2"/>
    <x v="5"/>
    <x v="1"/>
  </r>
  <r>
    <s v="TX500909"/>
    <x v="12"/>
    <x v="3"/>
    <n v="52.7"/>
    <n v="368.90000000000003"/>
    <x v="36"/>
    <d v="2025-02-07T00:00:00"/>
    <s v="M"/>
    <x v="1"/>
    <x v="1"/>
    <x v="0"/>
    <x v="3"/>
    <n v="1"/>
    <x v="5"/>
    <x v="1"/>
  </r>
  <r>
    <s v="TX500910"/>
    <x v="8"/>
    <x v="0"/>
    <n v="36.799999999999997"/>
    <n v="36.799999999999997"/>
    <x v="36"/>
    <d v="2025-02-06T00:00:00"/>
    <s v=""/>
    <x v="0"/>
    <x v="2"/>
    <x v="0"/>
    <x v="3"/>
    <n v="0"/>
    <x v="5"/>
    <x v="0"/>
  </r>
  <r>
    <s v="TX500911"/>
    <x v="4"/>
    <x v="0"/>
    <n v="52.5"/>
    <n v="52.5"/>
    <x v="36"/>
    <d v="2025-02-07T00:00:00"/>
    <s v="M"/>
    <x v="0"/>
    <x v="1"/>
    <x v="0"/>
    <x v="6"/>
    <n v="1"/>
    <x v="5"/>
    <x v="1"/>
  </r>
  <r>
    <s v="TX500912"/>
    <x v="2"/>
    <x v="1"/>
    <n v="133.80000000000001"/>
    <n v="267.60000000000002"/>
    <x v="36"/>
    <d v="2025-02-08T00:00:00"/>
    <s v="M"/>
    <x v="0"/>
    <x v="1"/>
    <x v="0"/>
    <x v="7"/>
    <n v="2"/>
    <x v="5"/>
    <x v="1"/>
  </r>
  <r>
    <s v="TX500913"/>
    <x v="6"/>
    <x v="1"/>
    <n v="53.2"/>
    <n v="106.4"/>
    <x v="36"/>
    <d v="2025-02-08T00:00:00"/>
    <s v="M"/>
    <x v="0"/>
    <x v="0"/>
    <x v="0"/>
    <x v="17"/>
    <n v="2"/>
    <x v="5"/>
    <x v="1"/>
  </r>
  <r>
    <s v="TX500914"/>
    <x v="14"/>
    <x v="13"/>
    <n v="18.7"/>
    <n v="112.19999999999999"/>
    <x v="36"/>
    <d v="2025-02-08T00:00:00"/>
    <s v=""/>
    <x v="0"/>
    <x v="1"/>
    <x v="0"/>
    <x v="10"/>
    <n v="2"/>
    <x v="5"/>
    <x v="0"/>
  </r>
  <r>
    <s v="TX500915"/>
    <x v="6"/>
    <x v="12"/>
    <n v="108.8"/>
    <n v="435.2"/>
    <x v="36"/>
    <d v="2025-02-07T00:00:00"/>
    <s v="F"/>
    <x v="3"/>
    <x v="2"/>
    <x v="0"/>
    <x v="11"/>
    <n v="1"/>
    <x v="5"/>
    <x v="2"/>
  </r>
  <r>
    <s v="TX500916"/>
    <x v="15"/>
    <x v="9"/>
    <n v="38.5"/>
    <n v="192.5"/>
    <x v="36"/>
    <d v="2025-02-10T00:00:00"/>
    <s v="F"/>
    <x v="0"/>
    <x v="1"/>
    <x v="0"/>
    <x v="14"/>
    <n v="4"/>
    <x v="5"/>
    <x v="2"/>
  </r>
  <r>
    <s v="TX500917"/>
    <x v="10"/>
    <x v="7"/>
    <n v="46.5"/>
    <n v="465"/>
    <x v="36"/>
    <d v="2025-02-08T00:00:00"/>
    <s v="M"/>
    <x v="2"/>
    <x v="1"/>
    <x v="0"/>
    <x v="2"/>
    <n v="2"/>
    <x v="5"/>
    <x v="1"/>
  </r>
  <r>
    <s v="TX500918"/>
    <x v="2"/>
    <x v="2"/>
    <n v="75.8"/>
    <n v="227.39999999999998"/>
    <x v="36"/>
    <d v="2025-02-10T00:00:00"/>
    <s v="F"/>
    <x v="1"/>
    <x v="4"/>
    <x v="0"/>
    <x v="44"/>
    <n v="4"/>
    <x v="5"/>
    <x v="2"/>
  </r>
  <r>
    <s v="TX500919"/>
    <x v="8"/>
    <x v="0"/>
    <n v="20.9"/>
    <n v="20.9"/>
    <x v="36"/>
    <d v="2025-02-10T00:00:00"/>
    <s v="M"/>
    <x v="0"/>
    <x v="0"/>
    <x v="0"/>
    <x v="22"/>
    <n v="4"/>
    <x v="5"/>
    <x v="1"/>
  </r>
  <r>
    <s v="TX500920"/>
    <x v="18"/>
    <x v="2"/>
    <n v="47.4"/>
    <n v="142.19999999999999"/>
    <x v="36"/>
    <d v="2025-02-09T00:00:00"/>
    <s v="F"/>
    <x v="0"/>
    <x v="0"/>
    <x v="0"/>
    <x v="3"/>
    <n v="3"/>
    <x v="5"/>
    <x v="2"/>
  </r>
  <r>
    <s v="TX500921"/>
    <x v="9"/>
    <x v="1"/>
    <n v="53.8"/>
    <n v="107.6"/>
    <x v="36"/>
    <d v="2025-02-07T00:00:00"/>
    <s v=""/>
    <x v="0"/>
    <x v="1"/>
    <x v="0"/>
    <x v="3"/>
    <n v="1"/>
    <x v="5"/>
    <x v="0"/>
  </r>
  <r>
    <s v="TX500922"/>
    <x v="8"/>
    <x v="2"/>
    <n v="24.6"/>
    <n v="73.800000000000011"/>
    <x v="36"/>
    <d v="2025-02-08T00:00:00"/>
    <s v="O"/>
    <x v="1"/>
    <x v="2"/>
    <x v="0"/>
    <x v="3"/>
    <n v="2"/>
    <x v="5"/>
    <x v="3"/>
  </r>
  <r>
    <s v="TX500923"/>
    <x v="9"/>
    <x v="2"/>
    <n v="70.900000000000006"/>
    <n v="212.70000000000002"/>
    <x v="36"/>
    <d v="2025-02-11T00:00:00"/>
    <s v="F"/>
    <x v="2"/>
    <x v="2"/>
    <x v="0"/>
    <x v="3"/>
    <n v="5"/>
    <x v="5"/>
    <x v="2"/>
  </r>
  <r>
    <s v="TX500924"/>
    <x v="17"/>
    <x v="2"/>
    <n v="31.9"/>
    <n v="95.699999999999989"/>
    <x v="36"/>
    <d v="2025-02-08T00:00:00"/>
    <s v="F"/>
    <x v="2"/>
    <x v="2"/>
    <x v="0"/>
    <x v="3"/>
    <n v="2"/>
    <x v="5"/>
    <x v="2"/>
  </r>
  <r>
    <s v="TX500925"/>
    <x v="0"/>
    <x v="1"/>
    <n v="20.399999999999999"/>
    <n v="40.799999999999997"/>
    <x v="36"/>
    <d v="2025-02-10T00:00:00"/>
    <s v="M"/>
    <x v="3"/>
    <x v="2"/>
    <x v="0"/>
    <x v="3"/>
    <n v="4"/>
    <x v="5"/>
    <x v="1"/>
  </r>
  <r>
    <s v="TX500926"/>
    <x v="8"/>
    <x v="1"/>
    <n v="18.600000000000001"/>
    <n v="37.200000000000003"/>
    <x v="36"/>
    <d v="2025-02-08T00:00:00"/>
    <s v=""/>
    <x v="0"/>
    <x v="1"/>
    <x v="0"/>
    <x v="3"/>
    <n v="2"/>
    <x v="5"/>
    <x v="0"/>
  </r>
  <r>
    <s v="TX500927"/>
    <x v="4"/>
    <x v="9"/>
    <n v="48.3"/>
    <n v="241.5"/>
    <x v="36"/>
    <d v="2025-02-08T00:00:00"/>
    <s v="F"/>
    <x v="1"/>
    <x v="0"/>
    <x v="0"/>
    <x v="3"/>
    <n v="2"/>
    <x v="5"/>
    <x v="2"/>
  </r>
  <r>
    <s v="TX500928"/>
    <x v="0"/>
    <x v="12"/>
    <n v="27.7"/>
    <n v="110.8"/>
    <x v="36"/>
    <d v="2025-02-08T00:00:00"/>
    <s v="F"/>
    <x v="0"/>
    <x v="0"/>
    <x v="0"/>
    <x v="3"/>
    <n v="2"/>
    <x v="5"/>
    <x v="2"/>
  </r>
  <r>
    <s v="TX500929"/>
    <x v="4"/>
    <x v="9"/>
    <n v="22.5"/>
    <n v="112.5"/>
    <x v="36"/>
    <d v="2025-02-08T00:00:00"/>
    <s v="F"/>
    <x v="4"/>
    <x v="2"/>
    <x v="0"/>
    <x v="3"/>
    <n v="2"/>
    <x v="5"/>
    <x v="2"/>
  </r>
  <r>
    <s v="TX500930"/>
    <x v="17"/>
    <x v="9"/>
    <n v="21.6"/>
    <n v="108"/>
    <x v="36"/>
    <d v="2025-02-14T00:00:00"/>
    <s v="F"/>
    <x v="0"/>
    <x v="1"/>
    <x v="0"/>
    <x v="3"/>
    <n v="8"/>
    <x v="5"/>
    <x v="2"/>
  </r>
  <r>
    <s v="TX500931"/>
    <x v="10"/>
    <x v="3"/>
    <n v="26.3"/>
    <n v="184.1"/>
    <x v="36"/>
    <d v="2025-02-06T00:00:00"/>
    <s v="F"/>
    <x v="2"/>
    <x v="1"/>
    <x v="0"/>
    <x v="3"/>
    <n v="0"/>
    <x v="5"/>
    <x v="2"/>
  </r>
  <r>
    <s v="TX500932"/>
    <x v="6"/>
    <x v="3"/>
    <n v="103"/>
    <n v="721"/>
    <x v="37"/>
    <d v="2025-02-08T00:00:00"/>
    <s v="M"/>
    <x v="0"/>
    <x v="2"/>
    <x v="0"/>
    <x v="6"/>
    <n v="1"/>
    <x v="5"/>
    <x v="1"/>
  </r>
  <r>
    <s v="TX500933"/>
    <x v="5"/>
    <x v="20"/>
    <n v="46.6"/>
    <n v="699"/>
    <x v="37"/>
    <d v="2025-02-08T00:00:00"/>
    <s v="F"/>
    <x v="0"/>
    <x v="1"/>
    <x v="0"/>
    <x v="6"/>
    <n v="1"/>
    <x v="5"/>
    <x v="2"/>
  </r>
  <r>
    <s v="TX500934"/>
    <x v="0"/>
    <x v="9"/>
    <n v="32.200000000000003"/>
    <n v="161"/>
    <x v="37"/>
    <d v="2025-02-10T00:00:00"/>
    <s v="F"/>
    <x v="0"/>
    <x v="2"/>
    <x v="0"/>
    <x v="36"/>
    <n v="3"/>
    <x v="5"/>
    <x v="2"/>
  </r>
  <r>
    <s v="TX500935"/>
    <x v="8"/>
    <x v="2"/>
    <n v="22"/>
    <n v="66"/>
    <x v="37"/>
    <d v="2025-02-14T00:00:00"/>
    <s v="M"/>
    <x v="1"/>
    <x v="0"/>
    <x v="0"/>
    <x v="7"/>
    <n v="7"/>
    <x v="5"/>
    <x v="1"/>
  </r>
  <r>
    <s v="TX500936"/>
    <x v="0"/>
    <x v="1"/>
    <n v="25.2"/>
    <n v="50.4"/>
    <x v="37"/>
    <d v="2025-02-11T00:00:00"/>
    <s v="F"/>
    <x v="0"/>
    <x v="0"/>
    <x v="0"/>
    <x v="7"/>
    <n v="4"/>
    <x v="5"/>
    <x v="2"/>
  </r>
  <r>
    <s v="TX500937"/>
    <x v="1"/>
    <x v="13"/>
    <n v="68.7"/>
    <n v="412.20000000000005"/>
    <x v="37"/>
    <d v="2025-02-09T00:00:00"/>
    <s v="M"/>
    <x v="4"/>
    <x v="0"/>
    <x v="0"/>
    <x v="8"/>
    <n v="2"/>
    <x v="5"/>
    <x v="1"/>
  </r>
  <r>
    <s v="TX500938"/>
    <x v="0"/>
    <x v="2"/>
    <n v="22.2"/>
    <n v="66.599999999999994"/>
    <x v="37"/>
    <d v="2025-02-10T00:00:00"/>
    <s v="M"/>
    <x v="2"/>
    <x v="2"/>
    <x v="0"/>
    <x v="8"/>
    <n v="3"/>
    <x v="5"/>
    <x v="1"/>
  </r>
  <r>
    <s v="TX500939"/>
    <x v="1"/>
    <x v="3"/>
    <n v="36"/>
    <n v="252"/>
    <x v="37"/>
    <d v="2025-02-08T00:00:00"/>
    <s v="F"/>
    <x v="1"/>
    <x v="0"/>
    <x v="0"/>
    <x v="8"/>
    <n v="1"/>
    <x v="5"/>
    <x v="2"/>
  </r>
  <r>
    <s v="TX500940"/>
    <x v="18"/>
    <x v="0"/>
    <n v="50.6"/>
    <n v="50.6"/>
    <x v="37"/>
    <d v="2025-02-09T00:00:00"/>
    <s v="F"/>
    <x v="0"/>
    <x v="1"/>
    <x v="0"/>
    <x v="8"/>
    <n v="2"/>
    <x v="5"/>
    <x v="2"/>
  </r>
  <r>
    <s v="TX500941"/>
    <x v="15"/>
    <x v="1"/>
    <n v="44.9"/>
    <n v="89.8"/>
    <x v="37"/>
    <d v="2025-02-09T00:00:00"/>
    <s v="M"/>
    <x v="0"/>
    <x v="1"/>
    <x v="0"/>
    <x v="8"/>
    <n v="2"/>
    <x v="5"/>
    <x v="1"/>
  </r>
  <r>
    <s v="TX500942"/>
    <x v="6"/>
    <x v="2"/>
    <n v="71.599999999999994"/>
    <n v="214.79999999999998"/>
    <x v="37"/>
    <d v="2025-02-11T00:00:00"/>
    <s v="M"/>
    <x v="1"/>
    <x v="2"/>
    <x v="0"/>
    <x v="10"/>
    <n v="4"/>
    <x v="5"/>
    <x v="1"/>
  </r>
  <r>
    <s v="TX500943"/>
    <x v="6"/>
    <x v="13"/>
    <n v="51.5"/>
    <n v="309"/>
    <x v="37"/>
    <d v="2025-02-09T00:00:00"/>
    <s v=""/>
    <x v="4"/>
    <x v="0"/>
    <x v="0"/>
    <x v="11"/>
    <n v="2"/>
    <x v="5"/>
    <x v="0"/>
  </r>
  <r>
    <s v="TX500944"/>
    <x v="7"/>
    <x v="9"/>
    <n v="55.5"/>
    <n v="277.5"/>
    <x v="37"/>
    <d v="2025-02-08T00:00:00"/>
    <s v="M"/>
    <x v="1"/>
    <x v="1"/>
    <x v="0"/>
    <x v="11"/>
    <n v="1"/>
    <x v="5"/>
    <x v="1"/>
  </r>
  <r>
    <s v="TX500945"/>
    <x v="6"/>
    <x v="0"/>
    <n v="51.7"/>
    <n v="51.7"/>
    <x v="37"/>
    <d v="2025-02-21T00:00:00"/>
    <s v="M"/>
    <x v="2"/>
    <x v="0"/>
    <x v="0"/>
    <x v="19"/>
    <n v="14"/>
    <x v="5"/>
    <x v="1"/>
  </r>
  <r>
    <s v="TX500946"/>
    <x v="8"/>
    <x v="38"/>
    <n v="45.5"/>
    <n v="955.5"/>
    <x v="37"/>
    <d v="2025-02-08T00:00:00"/>
    <s v="F"/>
    <x v="3"/>
    <x v="2"/>
    <x v="0"/>
    <x v="19"/>
    <n v="1"/>
    <x v="5"/>
    <x v="2"/>
  </r>
  <r>
    <s v="TX500947"/>
    <x v="8"/>
    <x v="1"/>
    <n v="33.799999999999997"/>
    <n v="67.599999999999994"/>
    <x v="37"/>
    <d v="2025-02-13T00:00:00"/>
    <s v="F"/>
    <x v="3"/>
    <x v="0"/>
    <x v="0"/>
    <x v="20"/>
    <n v="6"/>
    <x v="5"/>
    <x v="2"/>
  </r>
  <r>
    <s v="TX500948"/>
    <x v="3"/>
    <x v="2"/>
    <n v="76.5"/>
    <n v="229.5"/>
    <x v="37"/>
    <d v="2025-02-08T00:00:00"/>
    <s v="F"/>
    <x v="0"/>
    <x v="1"/>
    <x v="0"/>
    <x v="21"/>
    <n v="1"/>
    <x v="5"/>
    <x v="2"/>
  </r>
  <r>
    <s v="TX500949"/>
    <x v="9"/>
    <x v="2"/>
    <n v="42.6"/>
    <n v="127.80000000000001"/>
    <x v="37"/>
    <d v="2025-02-13T00:00:00"/>
    <s v="F"/>
    <x v="2"/>
    <x v="2"/>
    <x v="0"/>
    <x v="2"/>
    <n v="6"/>
    <x v="5"/>
    <x v="2"/>
  </r>
  <r>
    <s v="TX500950"/>
    <x v="6"/>
    <x v="2"/>
    <n v="44.1"/>
    <n v="132.30000000000001"/>
    <x v="37"/>
    <d v="2025-02-09T00:00:00"/>
    <s v="F"/>
    <x v="1"/>
    <x v="1"/>
    <x v="0"/>
    <x v="22"/>
    <n v="2"/>
    <x v="5"/>
    <x v="2"/>
  </r>
  <r>
    <s v="TX500951"/>
    <x v="8"/>
    <x v="1"/>
    <n v="40.9"/>
    <n v="81.8"/>
    <x v="37"/>
    <d v="2025-02-11T00:00:00"/>
    <s v="M"/>
    <x v="0"/>
    <x v="0"/>
    <x v="0"/>
    <x v="3"/>
    <n v="4"/>
    <x v="5"/>
    <x v="1"/>
  </r>
  <r>
    <s v="TX500952"/>
    <x v="9"/>
    <x v="2"/>
    <n v="49.1"/>
    <n v="147.30000000000001"/>
    <x v="37"/>
    <d v="2025-02-11T00:00:00"/>
    <s v="F"/>
    <x v="3"/>
    <x v="1"/>
    <x v="0"/>
    <x v="3"/>
    <n v="4"/>
    <x v="5"/>
    <x v="2"/>
  </r>
  <r>
    <s v="TX500953"/>
    <x v="18"/>
    <x v="0"/>
    <n v="85.3"/>
    <n v="85.3"/>
    <x v="37"/>
    <d v="2025-02-11T00:00:00"/>
    <s v="M"/>
    <x v="1"/>
    <x v="1"/>
    <x v="0"/>
    <x v="3"/>
    <n v="4"/>
    <x v="5"/>
    <x v="1"/>
  </r>
  <r>
    <s v="TX500954"/>
    <x v="6"/>
    <x v="12"/>
    <n v="43.1"/>
    <n v="172.4"/>
    <x v="38"/>
    <d v="2025-02-11T00:00:00"/>
    <s v="M"/>
    <x v="0"/>
    <x v="0"/>
    <x v="0"/>
    <x v="3"/>
    <n v="3"/>
    <x v="5"/>
    <x v="1"/>
  </r>
  <r>
    <s v="TX500955"/>
    <x v="4"/>
    <x v="12"/>
    <n v="46.2"/>
    <n v="184.8"/>
    <x v="38"/>
    <d v="2025-02-09T00:00:00"/>
    <s v="M"/>
    <x v="2"/>
    <x v="0"/>
    <x v="0"/>
    <x v="3"/>
    <n v="1"/>
    <x v="5"/>
    <x v="1"/>
  </r>
  <r>
    <s v="TX500956"/>
    <x v="1"/>
    <x v="0"/>
    <n v="74.400000000000006"/>
    <n v="74.400000000000006"/>
    <x v="38"/>
    <d v="2025-02-10T00:00:00"/>
    <s v="M"/>
    <x v="4"/>
    <x v="2"/>
    <x v="0"/>
    <x v="3"/>
    <n v="2"/>
    <x v="5"/>
    <x v="1"/>
  </r>
  <r>
    <s v="TX500957"/>
    <x v="17"/>
    <x v="1"/>
    <n v="51.2"/>
    <n v="102.4"/>
    <x v="38"/>
    <d v="2025-02-09T00:00:00"/>
    <s v="M"/>
    <x v="1"/>
    <x v="0"/>
    <x v="0"/>
    <x v="3"/>
    <n v="1"/>
    <x v="5"/>
    <x v="1"/>
  </r>
  <r>
    <s v="TX500958"/>
    <x v="14"/>
    <x v="12"/>
    <n v="11.8"/>
    <n v="47.2"/>
    <x v="38"/>
    <d v="2025-02-08T00:00:00"/>
    <s v="M"/>
    <x v="2"/>
    <x v="0"/>
    <x v="0"/>
    <x v="3"/>
    <n v="0"/>
    <x v="5"/>
    <x v="1"/>
  </r>
  <r>
    <s v="TX500959"/>
    <x v="10"/>
    <x v="6"/>
    <n v="40.799999999999997"/>
    <n v="1101.5999999999999"/>
    <x v="38"/>
    <d v="2025-02-09T00:00:00"/>
    <s v="F"/>
    <x v="3"/>
    <x v="2"/>
    <x v="0"/>
    <x v="3"/>
    <n v="1"/>
    <x v="5"/>
    <x v="2"/>
  </r>
  <r>
    <s v="TX500960"/>
    <x v="8"/>
    <x v="0"/>
    <n v="24.7"/>
    <n v="24.7"/>
    <x v="38"/>
    <d v="2025-02-10T00:00:00"/>
    <s v="F"/>
    <x v="2"/>
    <x v="1"/>
    <x v="0"/>
    <x v="3"/>
    <n v="2"/>
    <x v="5"/>
    <x v="2"/>
  </r>
  <r>
    <s v="TX500961"/>
    <x v="8"/>
    <x v="3"/>
    <n v="22.1"/>
    <n v="154.70000000000002"/>
    <x v="38"/>
    <d v="2025-02-08T00:00:00"/>
    <s v="F"/>
    <x v="2"/>
    <x v="4"/>
    <x v="0"/>
    <x v="3"/>
    <n v="0"/>
    <x v="5"/>
    <x v="2"/>
  </r>
  <r>
    <s v="TX500962"/>
    <x v="8"/>
    <x v="0"/>
    <n v="18.100000000000001"/>
    <n v="18.100000000000001"/>
    <x v="38"/>
    <d v="2025-02-12T00:00:00"/>
    <s v="M"/>
    <x v="3"/>
    <x v="2"/>
    <x v="0"/>
    <x v="3"/>
    <n v="4"/>
    <x v="5"/>
    <x v="1"/>
  </r>
  <r>
    <s v="TX500963"/>
    <x v="17"/>
    <x v="1"/>
    <n v="58.8"/>
    <n v="117.6"/>
    <x v="38"/>
    <d v="2025-02-11T00:00:00"/>
    <s v="F"/>
    <x v="0"/>
    <x v="0"/>
    <x v="0"/>
    <x v="25"/>
    <n v="3"/>
    <x v="5"/>
    <x v="2"/>
  </r>
  <r>
    <s v="TX500964"/>
    <x v="18"/>
    <x v="1"/>
    <n v="30.8"/>
    <n v="61.6"/>
    <x v="38"/>
    <d v="2025-02-09T00:00:00"/>
    <s v="F"/>
    <x v="0"/>
    <x v="0"/>
    <x v="0"/>
    <x v="6"/>
    <n v="1"/>
    <x v="5"/>
    <x v="2"/>
  </r>
  <r>
    <s v="TX500965"/>
    <x v="0"/>
    <x v="1"/>
    <n v="12"/>
    <n v="24"/>
    <x v="38"/>
    <d v="2025-02-12T00:00:00"/>
    <s v="F"/>
    <x v="0"/>
    <x v="0"/>
    <x v="0"/>
    <x v="6"/>
    <n v="4"/>
    <x v="5"/>
    <x v="2"/>
  </r>
  <r>
    <s v="TX500966"/>
    <x v="0"/>
    <x v="12"/>
    <n v="13.6"/>
    <n v="54.4"/>
    <x v="38"/>
    <d v="2025-02-11T00:00:00"/>
    <s v="M"/>
    <x v="2"/>
    <x v="0"/>
    <x v="0"/>
    <x v="6"/>
    <n v="3"/>
    <x v="5"/>
    <x v="1"/>
  </r>
  <r>
    <s v="TX500967"/>
    <x v="0"/>
    <x v="0"/>
    <n v="17.899999999999999"/>
    <n v="17.899999999999999"/>
    <x v="38"/>
    <d v="2025-02-09T00:00:00"/>
    <s v="M"/>
    <x v="3"/>
    <x v="0"/>
    <x v="0"/>
    <x v="6"/>
    <n v="1"/>
    <x v="5"/>
    <x v="1"/>
  </r>
  <r>
    <s v="TX500968"/>
    <x v="9"/>
    <x v="1"/>
    <n v="38.6"/>
    <n v="77.2"/>
    <x v="38"/>
    <d v="2025-02-12T00:00:00"/>
    <s v="F"/>
    <x v="4"/>
    <x v="0"/>
    <x v="0"/>
    <x v="7"/>
    <n v="4"/>
    <x v="5"/>
    <x v="2"/>
  </r>
  <r>
    <s v="TX500969"/>
    <x v="5"/>
    <x v="9"/>
    <n v="32.700000000000003"/>
    <n v="163.5"/>
    <x v="38"/>
    <d v="2025-02-09T00:00:00"/>
    <s v="M"/>
    <x v="2"/>
    <x v="2"/>
    <x v="0"/>
    <x v="8"/>
    <n v="1"/>
    <x v="5"/>
    <x v="1"/>
  </r>
  <r>
    <s v="TX500970"/>
    <x v="3"/>
    <x v="1"/>
    <n v="111.4"/>
    <n v="222.8"/>
    <x v="38"/>
    <d v="2025-02-09T00:00:00"/>
    <s v="F"/>
    <x v="1"/>
    <x v="0"/>
    <x v="0"/>
    <x v="8"/>
    <n v="1"/>
    <x v="5"/>
    <x v="2"/>
  </r>
  <r>
    <s v="TX500971"/>
    <x v="2"/>
    <x v="13"/>
    <n v="80.3"/>
    <n v="481.79999999999995"/>
    <x v="38"/>
    <d v="2025-02-10T00:00:00"/>
    <s v="F"/>
    <x v="1"/>
    <x v="0"/>
    <x v="0"/>
    <x v="8"/>
    <n v="2"/>
    <x v="5"/>
    <x v="2"/>
  </r>
  <r>
    <s v="TX500972"/>
    <x v="6"/>
    <x v="1"/>
    <n v="58.9"/>
    <n v="117.8"/>
    <x v="38"/>
    <d v="2025-02-09T00:00:00"/>
    <s v="M"/>
    <x v="1"/>
    <x v="0"/>
    <x v="0"/>
    <x v="8"/>
    <n v="1"/>
    <x v="5"/>
    <x v="1"/>
  </r>
  <r>
    <s v="TX500973"/>
    <x v="6"/>
    <x v="2"/>
    <n v="51.9"/>
    <n v="155.69999999999999"/>
    <x v="38"/>
    <d v="2025-02-10T00:00:00"/>
    <s v="F"/>
    <x v="1"/>
    <x v="4"/>
    <x v="0"/>
    <x v="8"/>
    <n v="2"/>
    <x v="5"/>
    <x v="2"/>
  </r>
  <r>
    <s v="TX500974"/>
    <x v="2"/>
    <x v="2"/>
    <n v="50.3"/>
    <n v="150.89999999999998"/>
    <x v="38"/>
    <d v="2025-02-09T00:00:00"/>
    <s v="M"/>
    <x v="2"/>
    <x v="0"/>
    <x v="0"/>
    <x v="17"/>
    <n v="1"/>
    <x v="5"/>
    <x v="1"/>
  </r>
  <r>
    <s v="TX500975"/>
    <x v="11"/>
    <x v="13"/>
    <n v="45"/>
    <n v="270"/>
    <x v="38"/>
    <d v="2025-02-14T00:00:00"/>
    <s v="F"/>
    <x v="3"/>
    <x v="0"/>
    <x v="0"/>
    <x v="9"/>
    <n v="6"/>
    <x v="5"/>
    <x v="2"/>
  </r>
  <r>
    <s v="TX500976"/>
    <x v="10"/>
    <x v="13"/>
    <n v="44.7"/>
    <n v="268.20000000000005"/>
    <x v="38"/>
    <d v="2025-02-10T00:00:00"/>
    <s v="F"/>
    <x v="2"/>
    <x v="0"/>
    <x v="0"/>
    <x v="11"/>
    <n v="2"/>
    <x v="5"/>
    <x v="2"/>
  </r>
  <r>
    <s v="TX500977"/>
    <x v="18"/>
    <x v="20"/>
    <n v="33"/>
    <n v="495"/>
    <x v="38"/>
    <d v="2025-02-09T00:00:00"/>
    <s v="F"/>
    <x v="2"/>
    <x v="0"/>
    <x v="0"/>
    <x v="11"/>
    <n v="1"/>
    <x v="5"/>
    <x v="2"/>
  </r>
  <r>
    <s v="TX500978"/>
    <x v="1"/>
    <x v="9"/>
    <n v="44.9"/>
    <n v="224.5"/>
    <x v="38"/>
    <d v="2025-02-11T00:00:00"/>
    <s v="F"/>
    <x v="2"/>
    <x v="2"/>
    <x v="0"/>
    <x v="18"/>
    <n v="3"/>
    <x v="5"/>
    <x v="2"/>
  </r>
  <r>
    <s v="TX500979"/>
    <x v="10"/>
    <x v="1"/>
    <n v="34.6"/>
    <n v="69.2"/>
    <x v="38"/>
    <d v="2025-02-12T00:00:00"/>
    <s v="F"/>
    <x v="0"/>
    <x v="1"/>
    <x v="0"/>
    <x v="19"/>
    <n v="4"/>
    <x v="5"/>
    <x v="2"/>
  </r>
  <r>
    <s v="TX500980"/>
    <x v="7"/>
    <x v="3"/>
    <n v="47.1"/>
    <n v="329.7"/>
    <x v="38"/>
    <d v="2025-02-13T00:00:00"/>
    <s v="F"/>
    <x v="0"/>
    <x v="0"/>
    <x v="0"/>
    <x v="13"/>
    <n v="5"/>
    <x v="5"/>
    <x v="2"/>
  </r>
  <r>
    <s v="TX500981"/>
    <x v="4"/>
    <x v="9"/>
    <n v="26.1"/>
    <n v="130.5"/>
    <x v="38"/>
    <d v="2025-02-13T00:00:00"/>
    <s v="M"/>
    <x v="0"/>
    <x v="2"/>
    <x v="0"/>
    <x v="21"/>
    <n v="5"/>
    <x v="5"/>
    <x v="1"/>
  </r>
  <r>
    <s v="TX500982"/>
    <x v="12"/>
    <x v="9"/>
    <n v="66.8"/>
    <n v="334"/>
    <x v="38"/>
    <d v="2025-02-11T00:00:00"/>
    <s v="F"/>
    <x v="0"/>
    <x v="0"/>
    <x v="0"/>
    <x v="21"/>
    <n v="3"/>
    <x v="5"/>
    <x v="2"/>
  </r>
  <r>
    <s v="TX500983"/>
    <x v="2"/>
    <x v="1"/>
    <n v="167.9"/>
    <n v="335.8"/>
    <x v="38"/>
    <d v="2025-02-09T00:00:00"/>
    <s v="F"/>
    <x v="3"/>
    <x v="2"/>
    <x v="0"/>
    <x v="21"/>
    <n v="1"/>
    <x v="5"/>
    <x v="2"/>
  </r>
  <r>
    <s v="TX500984"/>
    <x v="10"/>
    <x v="11"/>
    <n v="34.6"/>
    <n v="311.40000000000003"/>
    <x v="38"/>
    <d v="2025-02-09T00:00:00"/>
    <s v="F"/>
    <x v="2"/>
    <x v="1"/>
    <x v="0"/>
    <x v="21"/>
    <n v="1"/>
    <x v="5"/>
    <x v="2"/>
  </r>
  <r>
    <s v="TX500985"/>
    <x v="8"/>
    <x v="2"/>
    <n v="35.1"/>
    <n v="105.30000000000001"/>
    <x v="39"/>
    <d v="2025-02-13T00:00:00"/>
    <s v="M"/>
    <x v="4"/>
    <x v="2"/>
    <x v="0"/>
    <x v="1"/>
    <n v="4"/>
    <x v="6"/>
    <x v="1"/>
  </r>
  <r>
    <s v="TX500986"/>
    <x v="6"/>
    <x v="12"/>
    <n v="104.5"/>
    <n v="418"/>
    <x v="39"/>
    <d v="2025-02-10T00:00:00"/>
    <s v="M"/>
    <x v="1"/>
    <x v="1"/>
    <x v="0"/>
    <x v="1"/>
    <n v="1"/>
    <x v="6"/>
    <x v="1"/>
  </r>
  <r>
    <s v="TX500987"/>
    <x v="8"/>
    <x v="0"/>
    <n v="37.9"/>
    <n v="37.9"/>
    <x v="39"/>
    <d v="2025-02-11T00:00:00"/>
    <s v=""/>
    <x v="1"/>
    <x v="2"/>
    <x v="0"/>
    <x v="2"/>
    <n v="2"/>
    <x v="6"/>
    <x v="0"/>
  </r>
  <r>
    <s v="TX500988"/>
    <x v="4"/>
    <x v="2"/>
    <n v="25.5"/>
    <n v="76.5"/>
    <x v="39"/>
    <d v="2025-02-12T00:00:00"/>
    <s v="M"/>
    <x v="3"/>
    <x v="0"/>
    <x v="0"/>
    <x v="2"/>
    <n v="3"/>
    <x v="6"/>
    <x v="1"/>
  </r>
  <r>
    <s v="TX500989"/>
    <x v="0"/>
    <x v="2"/>
    <n v="32"/>
    <n v="96"/>
    <x v="39"/>
    <d v="2025-02-13T00:00:00"/>
    <s v="F"/>
    <x v="1"/>
    <x v="0"/>
    <x v="0"/>
    <x v="22"/>
    <n v="4"/>
    <x v="6"/>
    <x v="2"/>
  </r>
  <r>
    <s v="TX500990"/>
    <x v="1"/>
    <x v="0"/>
    <n v="47.1"/>
    <n v="47.1"/>
    <x v="39"/>
    <d v="2025-02-10T00:00:00"/>
    <s v="F"/>
    <x v="0"/>
    <x v="0"/>
    <x v="0"/>
    <x v="34"/>
    <n v="1"/>
    <x v="6"/>
    <x v="2"/>
  </r>
  <r>
    <s v="TX500991"/>
    <x v="6"/>
    <x v="1"/>
    <n v="50.6"/>
    <n v="101.2"/>
    <x v="39"/>
    <d v="2025-02-15T00:00:00"/>
    <s v=""/>
    <x v="0"/>
    <x v="0"/>
    <x v="0"/>
    <x v="3"/>
    <n v="6"/>
    <x v="6"/>
    <x v="0"/>
  </r>
  <r>
    <s v="TX500992"/>
    <x v="6"/>
    <x v="9"/>
    <n v="81.7"/>
    <n v="408.5"/>
    <x v="39"/>
    <d v="2025-02-10T00:00:00"/>
    <s v="F"/>
    <x v="1"/>
    <x v="2"/>
    <x v="0"/>
    <x v="3"/>
    <n v="1"/>
    <x v="6"/>
    <x v="2"/>
  </r>
  <r>
    <s v="TX500993"/>
    <x v="5"/>
    <x v="1"/>
    <n v="50.7"/>
    <n v="101.4"/>
    <x v="39"/>
    <d v="2025-02-10T00:00:00"/>
    <s v="O"/>
    <x v="2"/>
    <x v="2"/>
    <x v="0"/>
    <x v="3"/>
    <n v="1"/>
    <x v="6"/>
    <x v="3"/>
  </r>
  <r>
    <s v="TX500994"/>
    <x v="2"/>
    <x v="10"/>
    <n v="67.3"/>
    <n v="1278.7"/>
    <x v="39"/>
    <d v="2025-02-13T00:00:00"/>
    <s v="F"/>
    <x v="2"/>
    <x v="0"/>
    <x v="0"/>
    <x v="3"/>
    <n v="4"/>
    <x v="6"/>
    <x v="2"/>
  </r>
  <r>
    <s v="TX500995"/>
    <x v="2"/>
    <x v="12"/>
    <n v="64.8"/>
    <n v="259.2"/>
    <x v="39"/>
    <d v="2025-02-12T00:00:00"/>
    <s v="F"/>
    <x v="3"/>
    <x v="0"/>
    <x v="0"/>
    <x v="3"/>
    <n v="3"/>
    <x v="6"/>
    <x v="2"/>
  </r>
  <r>
    <s v="TX500996"/>
    <x v="5"/>
    <x v="32"/>
    <n v="61.3"/>
    <n v="1348.6"/>
    <x v="39"/>
    <d v="2025-02-10T00:00:00"/>
    <s v="F"/>
    <x v="0"/>
    <x v="2"/>
    <x v="0"/>
    <x v="3"/>
    <n v="1"/>
    <x v="6"/>
    <x v="2"/>
  </r>
  <r>
    <s v="TX500997"/>
    <x v="14"/>
    <x v="0"/>
    <n v="32.9"/>
    <n v="32.9"/>
    <x v="39"/>
    <d v="2025-02-12T00:00:00"/>
    <s v="F"/>
    <x v="4"/>
    <x v="0"/>
    <x v="0"/>
    <x v="3"/>
    <n v="3"/>
    <x v="6"/>
    <x v="2"/>
  </r>
  <r>
    <s v="TX500998"/>
    <x v="6"/>
    <x v="1"/>
    <n v="100.8"/>
    <n v="201.6"/>
    <x v="39"/>
    <d v="2025-02-12T00:00:00"/>
    <s v="F"/>
    <x v="0"/>
    <x v="0"/>
    <x v="0"/>
    <x v="3"/>
    <n v="3"/>
    <x v="6"/>
    <x v="2"/>
  </r>
  <r>
    <s v="TX500999"/>
    <x v="8"/>
    <x v="12"/>
    <n v="25.1"/>
    <n v="100.4"/>
    <x v="39"/>
    <d v="2025-02-11T00:00:00"/>
    <s v="F"/>
    <x v="1"/>
    <x v="0"/>
    <x v="0"/>
    <x v="3"/>
    <n v="2"/>
    <x v="6"/>
    <x v="2"/>
  </r>
  <r>
    <s v="TX501000"/>
    <x v="17"/>
    <x v="0"/>
    <n v="48.5"/>
    <n v="48.5"/>
    <x v="39"/>
    <d v="2025-02-10T00:00:00"/>
    <s v="F"/>
    <x v="0"/>
    <x v="1"/>
    <x v="0"/>
    <x v="3"/>
    <n v="1"/>
    <x v="6"/>
    <x v="2"/>
  </r>
  <r>
    <s v="TX501001"/>
    <x v="7"/>
    <x v="1"/>
    <n v="33.6"/>
    <n v="67.2"/>
    <x v="39"/>
    <d v="2025-02-13T00:00:00"/>
    <s v="F"/>
    <x v="2"/>
    <x v="2"/>
    <x v="0"/>
    <x v="3"/>
    <n v="4"/>
    <x v="6"/>
    <x v="2"/>
  </r>
  <r>
    <s v="TX501002"/>
    <x v="8"/>
    <x v="0"/>
    <n v="39.299999999999997"/>
    <n v="39.299999999999997"/>
    <x v="39"/>
    <d v="2025-02-20T00:00:00"/>
    <s v="F"/>
    <x v="1"/>
    <x v="1"/>
    <x v="0"/>
    <x v="49"/>
    <n v="11"/>
    <x v="6"/>
    <x v="2"/>
  </r>
  <r>
    <s v="TX501003"/>
    <x v="4"/>
    <x v="7"/>
    <n v="48.8"/>
    <n v="488"/>
    <x v="39"/>
    <d v="2025-02-11T00:00:00"/>
    <s v="F"/>
    <x v="3"/>
    <x v="1"/>
    <x v="0"/>
    <x v="25"/>
    <n v="2"/>
    <x v="6"/>
    <x v="2"/>
  </r>
  <r>
    <s v="TX501004"/>
    <x v="6"/>
    <x v="8"/>
    <n v="72.8"/>
    <n v="582.4"/>
    <x v="39"/>
    <d v="2025-02-11T00:00:00"/>
    <s v="M"/>
    <x v="1"/>
    <x v="2"/>
    <x v="0"/>
    <x v="5"/>
    <n v="2"/>
    <x v="6"/>
    <x v="1"/>
  </r>
  <r>
    <s v="TX501005"/>
    <x v="10"/>
    <x v="8"/>
    <n v="46.2"/>
    <n v="369.6"/>
    <x v="39"/>
    <d v="2025-02-10T00:00:00"/>
    <s v="M"/>
    <x v="3"/>
    <x v="4"/>
    <x v="0"/>
    <x v="5"/>
    <n v="1"/>
    <x v="6"/>
    <x v="1"/>
  </r>
  <r>
    <s v="TX501006"/>
    <x v="4"/>
    <x v="1"/>
    <n v="20.7"/>
    <n v="41.4"/>
    <x v="39"/>
    <d v="2025-02-10T00:00:00"/>
    <s v="F"/>
    <x v="2"/>
    <x v="3"/>
    <x v="0"/>
    <x v="6"/>
    <n v="1"/>
    <x v="6"/>
    <x v="2"/>
  </r>
  <r>
    <s v="TX501007"/>
    <x v="0"/>
    <x v="0"/>
    <n v="35.700000000000003"/>
    <n v="35.700000000000003"/>
    <x v="39"/>
    <d v="2025-02-11T00:00:00"/>
    <s v="F"/>
    <x v="3"/>
    <x v="0"/>
    <x v="0"/>
    <x v="6"/>
    <n v="2"/>
    <x v="6"/>
    <x v="2"/>
  </r>
  <r>
    <s v="TX501008"/>
    <x v="2"/>
    <x v="27"/>
    <n v="166.2"/>
    <n v="2659.2"/>
    <x v="39"/>
    <d v="2025-02-11T00:00:00"/>
    <s v=""/>
    <x v="2"/>
    <x v="0"/>
    <x v="0"/>
    <x v="7"/>
    <n v="2"/>
    <x v="6"/>
    <x v="0"/>
  </r>
  <r>
    <s v="TX501009"/>
    <x v="6"/>
    <x v="12"/>
    <n v="85.8"/>
    <n v="343.2"/>
    <x v="39"/>
    <d v="2025-02-10T00:00:00"/>
    <s v="F"/>
    <x v="1"/>
    <x v="1"/>
    <x v="0"/>
    <x v="7"/>
    <n v="1"/>
    <x v="6"/>
    <x v="2"/>
  </r>
  <r>
    <s v="TX501010"/>
    <x v="8"/>
    <x v="2"/>
    <n v="26"/>
    <n v="78"/>
    <x v="39"/>
    <d v="2025-02-11T00:00:00"/>
    <s v="O"/>
    <x v="1"/>
    <x v="0"/>
    <x v="0"/>
    <x v="7"/>
    <n v="2"/>
    <x v="6"/>
    <x v="3"/>
  </r>
  <r>
    <s v="TX501011"/>
    <x v="2"/>
    <x v="15"/>
    <n v="116.6"/>
    <n v="1515.8"/>
    <x v="39"/>
    <d v="2025-02-12T00:00:00"/>
    <s v="F"/>
    <x v="0"/>
    <x v="0"/>
    <x v="0"/>
    <x v="8"/>
    <n v="3"/>
    <x v="6"/>
    <x v="2"/>
  </r>
  <r>
    <s v="TX501012"/>
    <x v="9"/>
    <x v="3"/>
    <n v="53.9"/>
    <n v="377.3"/>
    <x v="39"/>
    <d v="2025-02-12T00:00:00"/>
    <s v="O"/>
    <x v="0"/>
    <x v="2"/>
    <x v="0"/>
    <x v="8"/>
    <n v="3"/>
    <x v="6"/>
    <x v="3"/>
  </r>
  <r>
    <s v="TX501013"/>
    <x v="12"/>
    <x v="9"/>
    <n v="72.3"/>
    <n v="361.5"/>
    <x v="39"/>
    <d v="2025-02-11T00:00:00"/>
    <s v=""/>
    <x v="2"/>
    <x v="2"/>
    <x v="0"/>
    <x v="8"/>
    <n v="2"/>
    <x v="6"/>
    <x v="0"/>
  </r>
  <r>
    <s v="TX501014"/>
    <x v="5"/>
    <x v="1"/>
    <n v="31.4"/>
    <n v="62.8"/>
    <x v="39"/>
    <d v="2025-02-11T00:00:00"/>
    <s v="F"/>
    <x v="0"/>
    <x v="0"/>
    <x v="0"/>
    <x v="8"/>
    <n v="2"/>
    <x v="6"/>
    <x v="2"/>
  </r>
  <r>
    <s v="TX501015"/>
    <x v="13"/>
    <x v="1"/>
    <n v="53.1"/>
    <n v="106.2"/>
    <x v="39"/>
    <d v="2025-02-12T00:00:00"/>
    <s v="M"/>
    <x v="1"/>
    <x v="0"/>
    <x v="0"/>
    <x v="8"/>
    <n v="3"/>
    <x v="6"/>
    <x v="1"/>
  </r>
  <r>
    <s v="TX501016"/>
    <x v="2"/>
    <x v="12"/>
    <n v="56.2"/>
    <n v="224.8"/>
    <x v="39"/>
    <d v="2025-02-10T00:00:00"/>
    <s v="F"/>
    <x v="0"/>
    <x v="0"/>
    <x v="0"/>
    <x v="8"/>
    <n v="1"/>
    <x v="6"/>
    <x v="2"/>
  </r>
  <r>
    <s v="TX501017"/>
    <x v="1"/>
    <x v="7"/>
    <n v="77.3"/>
    <n v="773"/>
    <x v="39"/>
    <d v="2025-02-10T00:00:00"/>
    <s v="F"/>
    <x v="2"/>
    <x v="0"/>
    <x v="0"/>
    <x v="11"/>
    <n v="1"/>
    <x v="6"/>
    <x v="2"/>
  </r>
  <r>
    <s v="TX501018"/>
    <x v="6"/>
    <x v="15"/>
    <n v="57.8"/>
    <n v="751.4"/>
    <x v="39"/>
    <d v="2025-02-10T00:00:00"/>
    <s v=""/>
    <x v="0"/>
    <x v="0"/>
    <x v="0"/>
    <x v="53"/>
    <n v="1"/>
    <x v="6"/>
    <x v="0"/>
  </r>
  <r>
    <s v="TX501019"/>
    <x v="12"/>
    <x v="20"/>
    <n v="42.1"/>
    <n v="631.5"/>
    <x v="39"/>
    <d v="2025-02-11T00:00:00"/>
    <s v="F"/>
    <x v="1"/>
    <x v="1"/>
    <x v="0"/>
    <x v="53"/>
    <n v="2"/>
    <x v="6"/>
    <x v="2"/>
  </r>
  <r>
    <s v="TX501020"/>
    <x v="8"/>
    <x v="11"/>
    <n v="22.8"/>
    <n v="205.20000000000002"/>
    <x v="39"/>
    <d v="2025-02-13T00:00:00"/>
    <s v="M"/>
    <x v="2"/>
    <x v="2"/>
    <x v="0"/>
    <x v="19"/>
    <n v="4"/>
    <x v="6"/>
    <x v="1"/>
  </r>
  <r>
    <s v="TX501021"/>
    <x v="2"/>
    <x v="2"/>
    <n v="171.1"/>
    <n v="513.29999999999995"/>
    <x v="40"/>
    <d v="2025-02-17T00:00:00"/>
    <s v="F"/>
    <x v="2"/>
    <x v="1"/>
    <x v="0"/>
    <x v="19"/>
    <n v="7"/>
    <x v="6"/>
    <x v="2"/>
  </r>
  <r>
    <s v="TX501022"/>
    <x v="8"/>
    <x v="0"/>
    <n v="28"/>
    <n v="28"/>
    <x v="40"/>
    <d v="2025-02-12T00:00:00"/>
    <s v="M"/>
    <x v="2"/>
    <x v="2"/>
    <x v="0"/>
    <x v="21"/>
    <n v="2"/>
    <x v="6"/>
    <x v="1"/>
  </r>
  <r>
    <s v="TX501023"/>
    <x v="6"/>
    <x v="3"/>
    <n v="50.2"/>
    <n v="351.40000000000003"/>
    <x v="40"/>
    <d v="2025-02-12T00:00:00"/>
    <s v="M"/>
    <x v="2"/>
    <x v="0"/>
    <x v="0"/>
    <x v="21"/>
    <n v="2"/>
    <x v="6"/>
    <x v="1"/>
  </r>
  <r>
    <s v="TX501024"/>
    <x v="6"/>
    <x v="1"/>
    <n v="56"/>
    <n v="112"/>
    <x v="40"/>
    <d v="2025-02-10T00:00:00"/>
    <s v="M"/>
    <x v="0"/>
    <x v="2"/>
    <x v="0"/>
    <x v="22"/>
    <n v="0"/>
    <x v="6"/>
    <x v="1"/>
  </r>
  <r>
    <s v="TX501025"/>
    <x v="1"/>
    <x v="1"/>
    <n v="38.299999999999997"/>
    <n v="76.599999999999994"/>
    <x v="40"/>
    <d v="2025-02-11T00:00:00"/>
    <s v="F"/>
    <x v="1"/>
    <x v="0"/>
    <x v="0"/>
    <x v="3"/>
    <n v="1"/>
    <x v="6"/>
    <x v="2"/>
  </r>
  <r>
    <s v="TX501026"/>
    <x v="0"/>
    <x v="9"/>
    <n v="22.3"/>
    <n v="111.5"/>
    <x v="40"/>
    <d v="2025-02-14T00:00:00"/>
    <s v="F"/>
    <x v="2"/>
    <x v="1"/>
    <x v="0"/>
    <x v="3"/>
    <n v="4"/>
    <x v="6"/>
    <x v="2"/>
  </r>
  <r>
    <s v="TX501027"/>
    <x v="0"/>
    <x v="2"/>
    <n v="22.3"/>
    <n v="66.900000000000006"/>
    <x v="40"/>
    <d v="2025-02-13T00:00:00"/>
    <s v="F"/>
    <x v="2"/>
    <x v="0"/>
    <x v="0"/>
    <x v="3"/>
    <n v="3"/>
    <x v="6"/>
    <x v="2"/>
  </r>
  <r>
    <s v="TX501028"/>
    <x v="1"/>
    <x v="0"/>
    <n v="32.9"/>
    <n v="32.9"/>
    <x v="40"/>
    <d v="2025-02-15T00:00:00"/>
    <s v="F"/>
    <x v="0"/>
    <x v="0"/>
    <x v="0"/>
    <x v="3"/>
    <n v="5"/>
    <x v="6"/>
    <x v="2"/>
  </r>
  <r>
    <s v="TX501029"/>
    <x v="10"/>
    <x v="2"/>
    <n v="31.9"/>
    <n v="95.699999999999989"/>
    <x v="40"/>
    <d v="2025-02-15T00:00:00"/>
    <s v="F"/>
    <x v="0"/>
    <x v="0"/>
    <x v="0"/>
    <x v="3"/>
    <n v="5"/>
    <x v="6"/>
    <x v="2"/>
  </r>
  <r>
    <s v="TX501030"/>
    <x v="6"/>
    <x v="1"/>
    <n v="94"/>
    <n v="188"/>
    <x v="40"/>
    <d v="2025-02-11T00:00:00"/>
    <s v="M"/>
    <x v="2"/>
    <x v="2"/>
    <x v="0"/>
    <x v="3"/>
    <n v="1"/>
    <x v="6"/>
    <x v="1"/>
  </r>
  <r>
    <s v="TX501031"/>
    <x v="10"/>
    <x v="1"/>
    <n v="30.7"/>
    <n v="61.4"/>
    <x v="40"/>
    <d v="2025-02-11T00:00:00"/>
    <s v="F"/>
    <x v="0"/>
    <x v="1"/>
    <x v="0"/>
    <x v="3"/>
    <n v="1"/>
    <x v="6"/>
    <x v="2"/>
  </r>
  <r>
    <s v="TX501032"/>
    <x v="5"/>
    <x v="9"/>
    <n v="90.5"/>
    <n v="452.5"/>
    <x v="40"/>
    <d v="2025-02-17T00:00:00"/>
    <s v="M"/>
    <x v="0"/>
    <x v="2"/>
    <x v="0"/>
    <x v="3"/>
    <n v="7"/>
    <x v="6"/>
    <x v="1"/>
  </r>
  <r>
    <s v="TX501033"/>
    <x v="8"/>
    <x v="9"/>
    <n v="25.3"/>
    <n v="126.5"/>
    <x v="40"/>
    <d v="2025-02-14T00:00:00"/>
    <s v="F"/>
    <x v="0"/>
    <x v="2"/>
    <x v="0"/>
    <x v="3"/>
    <n v="4"/>
    <x v="6"/>
    <x v="2"/>
  </r>
  <r>
    <s v="TX501034"/>
    <x v="6"/>
    <x v="2"/>
    <n v="58.1"/>
    <n v="174.3"/>
    <x v="40"/>
    <d v="2025-02-14T00:00:00"/>
    <s v=""/>
    <x v="0"/>
    <x v="2"/>
    <x v="0"/>
    <x v="3"/>
    <n v="4"/>
    <x v="6"/>
    <x v="0"/>
  </r>
  <r>
    <s v="TX501035"/>
    <x v="2"/>
    <x v="2"/>
    <n v="74.900000000000006"/>
    <n v="224.70000000000002"/>
    <x v="40"/>
    <d v="2025-02-11T00:00:00"/>
    <s v="F"/>
    <x v="4"/>
    <x v="0"/>
    <x v="0"/>
    <x v="3"/>
    <n v="1"/>
    <x v="6"/>
    <x v="2"/>
  </r>
  <r>
    <s v="TX501036"/>
    <x v="4"/>
    <x v="1"/>
    <n v="32.5"/>
    <n v="65"/>
    <x v="40"/>
    <d v="2025-02-11T00:00:00"/>
    <s v="M"/>
    <x v="2"/>
    <x v="2"/>
    <x v="0"/>
    <x v="43"/>
    <n v="1"/>
    <x v="6"/>
    <x v="1"/>
  </r>
  <r>
    <s v="TX501037"/>
    <x v="4"/>
    <x v="9"/>
    <n v="62"/>
    <n v="310"/>
    <x v="40"/>
    <d v="2025-02-11T00:00:00"/>
    <s v="M"/>
    <x v="4"/>
    <x v="2"/>
    <x v="0"/>
    <x v="25"/>
    <n v="1"/>
    <x v="6"/>
    <x v="1"/>
  </r>
  <r>
    <s v="TX501038"/>
    <x v="13"/>
    <x v="13"/>
    <n v="28.9"/>
    <n v="173.39999999999998"/>
    <x v="40"/>
    <d v="2025-02-13T00:00:00"/>
    <s v="F"/>
    <x v="0"/>
    <x v="1"/>
    <x v="0"/>
    <x v="6"/>
    <n v="3"/>
    <x v="6"/>
    <x v="2"/>
  </r>
  <r>
    <s v="TX501039"/>
    <x v="6"/>
    <x v="8"/>
    <n v="42.8"/>
    <n v="342.4"/>
    <x v="40"/>
    <d v="2025-02-12T00:00:00"/>
    <s v="F"/>
    <x v="0"/>
    <x v="2"/>
    <x v="0"/>
    <x v="6"/>
    <n v="2"/>
    <x v="6"/>
    <x v="2"/>
  </r>
  <r>
    <s v="TX501040"/>
    <x v="8"/>
    <x v="8"/>
    <n v="39.4"/>
    <n v="315.2"/>
    <x v="40"/>
    <d v="2025-02-12T00:00:00"/>
    <s v="M"/>
    <x v="0"/>
    <x v="0"/>
    <x v="0"/>
    <x v="36"/>
    <n v="2"/>
    <x v="6"/>
    <x v="1"/>
  </r>
  <r>
    <s v="TX501041"/>
    <x v="18"/>
    <x v="2"/>
    <n v="66.400000000000006"/>
    <n v="199.20000000000002"/>
    <x v="40"/>
    <d v="2025-02-11T00:00:00"/>
    <s v=""/>
    <x v="2"/>
    <x v="1"/>
    <x v="0"/>
    <x v="7"/>
    <n v="1"/>
    <x v="6"/>
    <x v="0"/>
  </r>
  <r>
    <s v="TX501042"/>
    <x v="17"/>
    <x v="12"/>
    <n v="35.9"/>
    <n v="143.6"/>
    <x v="40"/>
    <d v="2025-02-17T00:00:00"/>
    <s v="F"/>
    <x v="1"/>
    <x v="0"/>
    <x v="0"/>
    <x v="7"/>
    <n v="7"/>
    <x v="6"/>
    <x v="2"/>
  </r>
  <r>
    <s v="TX501043"/>
    <x v="0"/>
    <x v="12"/>
    <n v="26.9"/>
    <n v="107.6"/>
    <x v="40"/>
    <d v="2025-02-11T00:00:00"/>
    <s v="M"/>
    <x v="1"/>
    <x v="0"/>
    <x v="0"/>
    <x v="7"/>
    <n v="1"/>
    <x v="6"/>
    <x v="1"/>
  </r>
  <r>
    <s v="TX501044"/>
    <x v="2"/>
    <x v="0"/>
    <n v="55.1"/>
    <n v="55.1"/>
    <x v="40"/>
    <d v="2025-02-11T00:00:00"/>
    <s v="F"/>
    <x v="0"/>
    <x v="0"/>
    <x v="0"/>
    <x v="7"/>
    <n v="1"/>
    <x v="6"/>
    <x v="2"/>
  </r>
  <r>
    <s v="TX501045"/>
    <x v="4"/>
    <x v="1"/>
    <n v="23.9"/>
    <n v="47.8"/>
    <x v="40"/>
    <d v="2025-02-11T00:00:00"/>
    <s v="M"/>
    <x v="0"/>
    <x v="2"/>
    <x v="0"/>
    <x v="8"/>
    <n v="1"/>
    <x v="6"/>
    <x v="1"/>
  </r>
  <r>
    <s v="TX501046"/>
    <x v="9"/>
    <x v="15"/>
    <n v="21.1"/>
    <n v="274.3"/>
    <x v="40"/>
    <d v="2025-02-18T00:00:00"/>
    <s v="F"/>
    <x v="0"/>
    <x v="1"/>
    <x v="0"/>
    <x v="8"/>
    <n v="8"/>
    <x v="6"/>
    <x v="2"/>
  </r>
  <r>
    <s v="TX501047"/>
    <x v="8"/>
    <x v="9"/>
    <n v="33.799999999999997"/>
    <n v="169"/>
    <x v="40"/>
    <d v="2025-02-12T00:00:00"/>
    <s v="F"/>
    <x v="0"/>
    <x v="0"/>
    <x v="0"/>
    <x v="8"/>
    <n v="2"/>
    <x v="6"/>
    <x v="2"/>
  </r>
  <r>
    <s v="TX501048"/>
    <x v="2"/>
    <x v="12"/>
    <n v="56.1"/>
    <n v="224.4"/>
    <x v="40"/>
    <d v="2025-02-10T00:00:00"/>
    <s v="F"/>
    <x v="3"/>
    <x v="2"/>
    <x v="0"/>
    <x v="9"/>
    <n v="0"/>
    <x v="6"/>
    <x v="2"/>
  </r>
  <r>
    <s v="TX501049"/>
    <x v="3"/>
    <x v="0"/>
    <n v="58.5"/>
    <n v="58.5"/>
    <x v="41"/>
    <d v="2025-02-15T00:00:00"/>
    <s v="F"/>
    <x v="1"/>
    <x v="2"/>
    <x v="0"/>
    <x v="9"/>
    <n v="4"/>
    <x v="6"/>
    <x v="2"/>
  </r>
  <r>
    <s v="TX501050"/>
    <x v="6"/>
    <x v="0"/>
    <n v="84.2"/>
    <n v="84.2"/>
    <x v="41"/>
    <d v="2025-02-13T00:00:00"/>
    <s v="M"/>
    <x v="3"/>
    <x v="0"/>
    <x v="0"/>
    <x v="11"/>
    <n v="2"/>
    <x v="6"/>
    <x v="1"/>
  </r>
  <r>
    <s v="TX501051"/>
    <x v="11"/>
    <x v="12"/>
    <n v="52"/>
    <n v="208"/>
    <x v="41"/>
    <d v="2025-02-14T00:00:00"/>
    <s v="M"/>
    <x v="0"/>
    <x v="0"/>
    <x v="0"/>
    <x v="11"/>
    <n v="3"/>
    <x v="6"/>
    <x v="1"/>
  </r>
  <r>
    <s v="TX501052"/>
    <x v="4"/>
    <x v="9"/>
    <n v="31.5"/>
    <n v="157.5"/>
    <x v="41"/>
    <d v="2025-02-12T00:00:00"/>
    <s v="F"/>
    <x v="0"/>
    <x v="2"/>
    <x v="0"/>
    <x v="11"/>
    <n v="1"/>
    <x v="6"/>
    <x v="2"/>
  </r>
  <r>
    <s v="TX501053"/>
    <x v="16"/>
    <x v="2"/>
    <n v="46.2"/>
    <n v="138.60000000000002"/>
    <x v="41"/>
    <d v="2025-02-12T00:00:00"/>
    <s v="M"/>
    <x v="0"/>
    <x v="0"/>
    <x v="0"/>
    <x v="53"/>
    <n v="1"/>
    <x v="6"/>
    <x v="1"/>
  </r>
  <r>
    <s v="TX501054"/>
    <x v="2"/>
    <x v="13"/>
    <n v="135"/>
    <n v="810"/>
    <x v="41"/>
    <d v="2025-02-12T00:00:00"/>
    <s v="F"/>
    <x v="1"/>
    <x v="2"/>
    <x v="0"/>
    <x v="18"/>
    <n v="1"/>
    <x v="6"/>
    <x v="2"/>
  </r>
  <r>
    <s v="TX501055"/>
    <x v="12"/>
    <x v="2"/>
    <n v="92.2"/>
    <n v="276.60000000000002"/>
    <x v="41"/>
    <d v="2025-02-15T00:00:00"/>
    <s v="M"/>
    <x v="0"/>
    <x v="0"/>
    <x v="0"/>
    <x v="21"/>
    <n v="4"/>
    <x v="6"/>
    <x v="1"/>
  </r>
  <r>
    <s v="TX501056"/>
    <x v="8"/>
    <x v="0"/>
    <n v="36.6"/>
    <n v="36.6"/>
    <x v="41"/>
    <d v="2025-02-13T00:00:00"/>
    <s v="M"/>
    <x v="2"/>
    <x v="2"/>
    <x v="0"/>
    <x v="21"/>
    <n v="2"/>
    <x v="6"/>
    <x v="1"/>
  </r>
  <r>
    <s v="TX501057"/>
    <x v="9"/>
    <x v="1"/>
    <n v="50.6"/>
    <n v="101.2"/>
    <x v="41"/>
    <d v="2025-02-14T00:00:00"/>
    <s v="F"/>
    <x v="0"/>
    <x v="0"/>
    <x v="0"/>
    <x v="2"/>
    <n v="3"/>
    <x v="6"/>
    <x v="2"/>
  </r>
  <r>
    <s v="TX501058"/>
    <x v="18"/>
    <x v="3"/>
    <n v="56.7"/>
    <n v="396.90000000000003"/>
    <x v="41"/>
    <d v="2025-02-14T00:00:00"/>
    <s v="F"/>
    <x v="0"/>
    <x v="0"/>
    <x v="0"/>
    <x v="2"/>
    <n v="3"/>
    <x v="6"/>
    <x v="2"/>
  </r>
  <r>
    <s v="TX501059"/>
    <x v="9"/>
    <x v="15"/>
    <n v="22.9"/>
    <n v="297.7"/>
    <x v="41"/>
    <d v="2025-02-12T00:00:00"/>
    <s v="F"/>
    <x v="0"/>
    <x v="1"/>
    <x v="0"/>
    <x v="44"/>
    <n v="1"/>
    <x v="6"/>
    <x v="2"/>
  </r>
  <r>
    <s v="TX501060"/>
    <x v="15"/>
    <x v="10"/>
    <n v="53.6"/>
    <n v="1018.4"/>
    <x v="41"/>
    <d v="2025-02-12T00:00:00"/>
    <s v="M"/>
    <x v="0"/>
    <x v="0"/>
    <x v="0"/>
    <x v="22"/>
    <n v="1"/>
    <x v="6"/>
    <x v="1"/>
  </r>
  <r>
    <s v="TX501061"/>
    <x v="18"/>
    <x v="1"/>
    <n v="30.2"/>
    <n v="60.4"/>
    <x v="41"/>
    <d v="2025-02-13T00:00:00"/>
    <s v=""/>
    <x v="2"/>
    <x v="2"/>
    <x v="0"/>
    <x v="3"/>
    <n v="2"/>
    <x v="6"/>
    <x v="0"/>
  </r>
  <r>
    <s v="TX501062"/>
    <x v="15"/>
    <x v="13"/>
    <n v="83.4"/>
    <n v="500.40000000000003"/>
    <x v="41"/>
    <d v="2025-02-12T00:00:00"/>
    <s v="M"/>
    <x v="1"/>
    <x v="2"/>
    <x v="0"/>
    <x v="3"/>
    <n v="1"/>
    <x v="6"/>
    <x v="1"/>
  </r>
  <r>
    <s v="TX501063"/>
    <x v="13"/>
    <x v="4"/>
    <n v="16.600000000000001"/>
    <n v="199.20000000000002"/>
    <x v="41"/>
    <d v="2025-02-13T00:00:00"/>
    <s v="M"/>
    <x v="1"/>
    <x v="0"/>
    <x v="0"/>
    <x v="3"/>
    <n v="2"/>
    <x v="6"/>
    <x v="1"/>
  </r>
  <r>
    <s v="TX501064"/>
    <x v="8"/>
    <x v="14"/>
    <n v="21.9"/>
    <n v="372.29999999999995"/>
    <x v="41"/>
    <d v="2025-02-13T00:00:00"/>
    <s v="F"/>
    <x v="4"/>
    <x v="1"/>
    <x v="0"/>
    <x v="3"/>
    <n v="2"/>
    <x v="6"/>
    <x v="2"/>
  </r>
  <r>
    <s v="TX501065"/>
    <x v="8"/>
    <x v="31"/>
    <n v="33.799999999999997"/>
    <n v="946.39999999999986"/>
    <x v="41"/>
    <d v="2025-02-13T00:00:00"/>
    <s v="M"/>
    <x v="2"/>
    <x v="4"/>
    <x v="0"/>
    <x v="3"/>
    <n v="2"/>
    <x v="6"/>
    <x v="1"/>
  </r>
  <r>
    <s v="TX501066"/>
    <x v="18"/>
    <x v="1"/>
    <n v="53.2"/>
    <n v="106.4"/>
    <x v="41"/>
    <d v="2025-02-11T00:00:00"/>
    <s v="M"/>
    <x v="1"/>
    <x v="0"/>
    <x v="0"/>
    <x v="3"/>
    <n v="0"/>
    <x v="6"/>
    <x v="1"/>
  </r>
  <r>
    <s v="TX501067"/>
    <x v="2"/>
    <x v="1"/>
    <n v="176.7"/>
    <n v="353.4"/>
    <x v="41"/>
    <d v="2025-02-14T00:00:00"/>
    <s v="F"/>
    <x v="2"/>
    <x v="0"/>
    <x v="0"/>
    <x v="3"/>
    <n v="3"/>
    <x v="6"/>
    <x v="2"/>
  </r>
  <r>
    <s v="TX501068"/>
    <x v="12"/>
    <x v="2"/>
    <n v="54"/>
    <n v="162"/>
    <x v="41"/>
    <d v="2025-02-14T00:00:00"/>
    <s v="M"/>
    <x v="0"/>
    <x v="1"/>
    <x v="0"/>
    <x v="3"/>
    <n v="3"/>
    <x v="6"/>
    <x v="1"/>
  </r>
  <r>
    <s v="TX501069"/>
    <x v="9"/>
    <x v="1"/>
    <n v="70.099999999999994"/>
    <n v="140.19999999999999"/>
    <x v="41"/>
    <d v="2025-02-19T00:00:00"/>
    <s v="F"/>
    <x v="3"/>
    <x v="2"/>
    <x v="0"/>
    <x v="3"/>
    <n v="8"/>
    <x v="6"/>
    <x v="2"/>
  </r>
  <r>
    <s v="TX501070"/>
    <x v="8"/>
    <x v="0"/>
    <n v="26.5"/>
    <n v="26.5"/>
    <x v="41"/>
    <d v="2025-02-13T00:00:00"/>
    <s v="F"/>
    <x v="1"/>
    <x v="0"/>
    <x v="0"/>
    <x v="3"/>
    <n v="2"/>
    <x v="6"/>
    <x v="2"/>
  </r>
  <r>
    <s v="TX501071"/>
    <x v="7"/>
    <x v="9"/>
    <n v="89"/>
    <n v="445"/>
    <x v="41"/>
    <d v="2025-02-13T00:00:00"/>
    <s v="M"/>
    <x v="2"/>
    <x v="4"/>
    <x v="0"/>
    <x v="3"/>
    <n v="2"/>
    <x v="6"/>
    <x v="1"/>
  </r>
  <r>
    <s v="TX501072"/>
    <x v="1"/>
    <x v="13"/>
    <n v="47"/>
    <n v="282"/>
    <x v="41"/>
    <d v="2025-02-14T00:00:00"/>
    <s v="F"/>
    <x v="3"/>
    <x v="0"/>
    <x v="0"/>
    <x v="24"/>
    <n v="3"/>
    <x v="6"/>
    <x v="2"/>
  </r>
  <r>
    <s v="TX501073"/>
    <x v="3"/>
    <x v="1"/>
    <n v="55.2"/>
    <n v="110.4"/>
    <x v="41"/>
    <d v="2025-02-14T00:00:00"/>
    <s v="M"/>
    <x v="1"/>
    <x v="1"/>
    <x v="0"/>
    <x v="6"/>
    <n v="3"/>
    <x v="6"/>
    <x v="1"/>
  </r>
  <r>
    <s v="TX501074"/>
    <x v="8"/>
    <x v="39"/>
    <n v="33.299999999999997"/>
    <n v="1398.6"/>
    <x v="41"/>
    <d v="2025-02-25T00:00:00"/>
    <s v="M"/>
    <x v="1"/>
    <x v="2"/>
    <x v="0"/>
    <x v="6"/>
    <n v="14"/>
    <x v="6"/>
    <x v="1"/>
  </r>
  <r>
    <s v="TX501075"/>
    <x v="2"/>
    <x v="12"/>
    <n v="110.9"/>
    <n v="443.6"/>
    <x v="42"/>
    <d v="2025-02-12T00:00:00"/>
    <s v="M"/>
    <x v="2"/>
    <x v="4"/>
    <x v="0"/>
    <x v="6"/>
    <n v="0"/>
    <x v="6"/>
    <x v="1"/>
  </r>
  <r>
    <s v="TX501076"/>
    <x v="2"/>
    <x v="13"/>
    <n v="67.3"/>
    <n v="403.79999999999995"/>
    <x v="42"/>
    <d v="2025-02-13T00:00:00"/>
    <s v="M"/>
    <x v="0"/>
    <x v="0"/>
    <x v="0"/>
    <x v="8"/>
    <n v="1"/>
    <x v="6"/>
    <x v="1"/>
  </r>
  <r>
    <s v="TX501077"/>
    <x v="6"/>
    <x v="2"/>
    <n v="69.7"/>
    <n v="209.10000000000002"/>
    <x v="42"/>
    <d v="2025-02-13T00:00:00"/>
    <s v="M"/>
    <x v="2"/>
    <x v="1"/>
    <x v="0"/>
    <x v="8"/>
    <n v="1"/>
    <x v="6"/>
    <x v="1"/>
  </r>
  <r>
    <s v="TX501078"/>
    <x v="5"/>
    <x v="0"/>
    <n v="39.1"/>
    <n v="39.1"/>
    <x v="42"/>
    <d v="2025-02-17T00:00:00"/>
    <s v="M"/>
    <x v="0"/>
    <x v="1"/>
    <x v="0"/>
    <x v="17"/>
    <n v="5"/>
    <x v="6"/>
    <x v="1"/>
  </r>
  <r>
    <s v="TX501079"/>
    <x v="2"/>
    <x v="2"/>
    <n v="208.6"/>
    <n v="625.79999999999995"/>
    <x v="42"/>
    <d v="2025-02-12T00:00:00"/>
    <s v="M"/>
    <x v="4"/>
    <x v="2"/>
    <x v="0"/>
    <x v="17"/>
    <n v="0"/>
    <x v="6"/>
    <x v="1"/>
  </r>
  <r>
    <s v="TX501080"/>
    <x v="15"/>
    <x v="2"/>
    <n v="27.8"/>
    <n v="83.4"/>
    <x v="42"/>
    <d v="2025-02-13T00:00:00"/>
    <s v="M"/>
    <x v="3"/>
    <x v="1"/>
    <x v="0"/>
    <x v="11"/>
    <n v="1"/>
    <x v="6"/>
    <x v="1"/>
  </r>
  <r>
    <s v="TX501081"/>
    <x v="10"/>
    <x v="9"/>
    <n v="29.4"/>
    <n v="147"/>
    <x v="42"/>
    <d v="2025-02-14T00:00:00"/>
    <s v="F"/>
    <x v="0"/>
    <x v="0"/>
    <x v="0"/>
    <x v="11"/>
    <n v="2"/>
    <x v="6"/>
    <x v="2"/>
  </r>
  <r>
    <s v="TX501082"/>
    <x v="9"/>
    <x v="1"/>
    <n v="29.2"/>
    <n v="58.4"/>
    <x v="42"/>
    <d v="2025-02-14T00:00:00"/>
    <s v="F"/>
    <x v="1"/>
    <x v="2"/>
    <x v="0"/>
    <x v="20"/>
    <n v="2"/>
    <x v="6"/>
    <x v="2"/>
  </r>
  <r>
    <s v="TX501083"/>
    <x v="10"/>
    <x v="9"/>
    <n v="26.5"/>
    <n v="132.5"/>
    <x v="42"/>
    <d v="2025-02-14T00:00:00"/>
    <s v="F"/>
    <x v="0"/>
    <x v="0"/>
    <x v="0"/>
    <x v="52"/>
    <n v="2"/>
    <x v="6"/>
    <x v="2"/>
  </r>
  <r>
    <s v="TX501084"/>
    <x v="5"/>
    <x v="0"/>
    <n v="30.3"/>
    <n v="30.3"/>
    <x v="42"/>
    <d v="2025-02-13T00:00:00"/>
    <s v="F"/>
    <x v="4"/>
    <x v="1"/>
    <x v="0"/>
    <x v="13"/>
    <n v="1"/>
    <x v="6"/>
    <x v="2"/>
  </r>
  <r>
    <s v="TX501085"/>
    <x v="16"/>
    <x v="4"/>
    <n v="39.700000000000003"/>
    <n v="476.40000000000003"/>
    <x v="42"/>
    <d v="2025-02-13T00:00:00"/>
    <s v="F"/>
    <x v="0"/>
    <x v="0"/>
    <x v="0"/>
    <x v="21"/>
    <n v="1"/>
    <x v="6"/>
    <x v="2"/>
  </r>
  <r>
    <s v="TX501086"/>
    <x v="7"/>
    <x v="7"/>
    <n v="58.9"/>
    <n v="589"/>
    <x v="42"/>
    <d v="2025-02-14T00:00:00"/>
    <s v="F"/>
    <x v="1"/>
    <x v="4"/>
    <x v="0"/>
    <x v="21"/>
    <n v="2"/>
    <x v="6"/>
    <x v="2"/>
  </r>
  <r>
    <s v="TX501087"/>
    <x v="2"/>
    <x v="1"/>
    <n v="174.1"/>
    <n v="348.2"/>
    <x v="42"/>
    <d v="2025-02-14T00:00:00"/>
    <s v="F"/>
    <x v="0"/>
    <x v="1"/>
    <x v="0"/>
    <x v="46"/>
    <n v="2"/>
    <x v="6"/>
    <x v="2"/>
  </r>
  <r>
    <s v="TX501088"/>
    <x v="6"/>
    <x v="1"/>
    <n v="70.8"/>
    <n v="141.6"/>
    <x v="42"/>
    <d v="2025-02-15T00:00:00"/>
    <s v="M"/>
    <x v="2"/>
    <x v="0"/>
    <x v="0"/>
    <x v="22"/>
    <n v="3"/>
    <x v="6"/>
    <x v="1"/>
  </r>
  <r>
    <s v="TX501089"/>
    <x v="7"/>
    <x v="1"/>
    <n v="57.4"/>
    <n v="114.8"/>
    <x v="42"/>
    <d v="2025-02-14T00:00:00"/>
    <s v="F"/>
    <x v="1"/>
    <x v="1"/>
    <x v="0"/>
    <x v="34"/>
    <n v="2"/>
    <x v="6"/>
    <x v="2"/>
  </r>
  <r>
    <s v="TX501090"/>
    <x v="0"/>
    <x v="1"/>
    <n v="28.5"/>
    <n v="57"/>
    <x v="42"/>
    <d v="2025-02-14T00:00:00"/>
    <s v="M"/>
    <x v="3"/>
    <x v="1"/>
    <x v="0"/>
    <x v="3"/>
    <n v="2"/>
    <x v="6"/>
    <x v="1"/>
  </r>
  <r>
    <s v="TX501091"/>
    <x v="2"/>
    <x v="28"/>
    <n v="106.6"/>
    <n v="2132"/>
    <x v="42"/>
    <d v="2025-02-13T00:00:00"/>
    <s v=""/>
    <x v="1"/>
    <x v="4"/>
    <x v="0"/>
    <x v="3"/>
    <n v="1"/>
    <x v="6"/>
    <x v="0"/>
  </r>
  <r>
    <s v="TX501092"/>
    <x v="2"/>
    <x v="2"/>
    <n v="119.7"/>
    <n v="359.1"/>
    <x v="42"/>
    <d v="2025-02-13T00:00:00"/>
    <s v="F"/>
    <x v="1"/>
    <x v="4"/>
    <x v="0"/>
    <x v="3"/>
    <n v="1"/>
    <x v="6"/>
    <x v="2"/>
  </r>
  <r>
    <s v="TX501093"/>
    <x v="18"/>
    <x v="0"/>
    <n v="73.3"/>
    <n v="73.3"/>
    <x v="42"/>
    <d v="2025-02-17T00:00:00"/>
    <s v="F"/>
    <x v="0"/>
    <x v="2"/>
    <x v="0"/>
    <x v="3"/>
    <n v="5"/>
    <x v="6"/>
    <x v="2"/>
  </r>
  <r>
    <s v="TX501094"/>
    <x v="0"/>
    <x v="1"/>
    <n v="25.8"/>
    <n v="51.6"/>
    <x v="42"/>
    <d v="2025-02-26T00:00:00"/>
    <s v="M"/>
    <x v="2"/>
    <x v="0"/>
    <x v="0"/>
    <x v="3"/>
    <n v="14"/>
    <x v="6"/>
    <x v="1"/>
  </r>
  <r>
    <s v="TX501095"/>
    <x v="17"/>
    <x v="2"/>
    <n v="49.1"/>
    <n v="147.30000000000001"/>
    <x v="42"/>
    <d v="2025-02-14T00:00:00"/>
    <s v="F"/>
    <x v="0"/>
    <x v="0"/>
    <x v="0"/>
    <x v="24"/>
    <n v="2"/>
    <x v="6"/>
    <x v="2"/>
  </r>
  <r>
    <s v="TX501096"/>
    <x v="1"/>
    <x v="0"/>
    <n v="44.9"/>
    <n v="44.9"/>
    <x v="42"/>
    <d v="2025-02-15T00:00:00"/>
    <s v="F"/>
    <x v="3"/>
    <x v="2"/>
    <x v="0"/>
    <x v="6"/>
    <n v="3"/>
    <x v="6"/>
    <x v="2"/>
  </r>
  <r>
    <s v="TX501097"/>
    <x v="15"/>
    <x v="3"/>
    <n v="29.9"/>
    <n v="209.29999999999998"/>
    <x v="42"/>
    <d v="2025-02-13T00:00:00"/>
    <s v="F"/>
    <x v="0"/>
    <x v="0"/>
    <x v="0"/>
    <x v="6"/>
    <n v="1"/>
    <x v="6"/>
    <x v="2"/>
  </r>
  <r>
    <s v="TX501098"/>
    <x v="7"/>
    <x v="1"/>
    <n v="54.3"/>
    <n v="108.6"/>
    <x v="43"/>
    <d v="2025-02-14T00:00:00"/>
    <s v="M"/>
    <x v="3"/>
    <x v="0"/>
    <x v="0"/>
    <x v="36"/>
    <n v="1"/>
    <x v="6"/>
    <x v="1"/>
  </r>
  <r>
    <s v="TX501099"/>
    <x v="9"/>
    <x v="12"/>
    <n v="57"/>
    <n v="228"/>
    <x v="43"/>
    <d v="2025-02-15T00:00:00"/>
    <s v="F"/>
    <x v="0"/>
    <x v="0"/>
    <x v="0"/>
    <x v="8"/>
    <n v="2"/>
    <x v="6"/>
    <x v="2"/>
  </r>
  <r>
    <s v="TX501100"/>
    <x v="2"/>
    <x v="0"/>
    <n v="139.19999999999999"/>
    <n v="139.19999999999999"/>
    <x v="43"/>
    <d v="2025-02-14T00:00:00"/>
    <s v="F"/>
    <x v="3"/>
    <x v="2"/>
    <x v="0"/>
    <x v="8"/>
    <n v="1"/>
    <x v="6"/>
    <x v="2"/>
  </r>
  <r>
    <s v="TX501101"/>
    <x v="10"/>
    <x v="0"/>
    <n v="33"/>
    <n v="33"/>
    <x v="43"/>
    <d v="2025-02-16T00:00:00"/>
    <s v="F"/>
    <x v="0"/>
    <x v="2"/>
    <x v="0"/>
    <x v="8"/>
    <n v="3"/>
    <x v="6"/>
    <x v="2"/>
  </r>
  <r>
    <s v="TX501102"/>
    <x v="11"/>
    <x v="13"/>
    <n v="80.2"/>
    <n v="481.20000000000005"/>
    <x v="43"/>
    <d v="2025-02-15T00:00:00"/>
    <s v="M"/>
    <x v="1"/>
    <x v="4"/>
    <x v="0"/>
    <x v="8"/>
    <n v="2"/>
    <x v="6"/>
    <x v="1"/>
  </r>
  <r>
    <s v="TX501103"/>
    <x v="18"/>
    <x v="8"/>
    <n v="49"/>
    <n v="392"/>
    <x v="43"/>
    <d v="2025-02-14T00:00:00"/>
    <s v=""/>
    <x v="2"/>
    <x v="1"/>
    <x v="0"/>
    <x v="9"/>
    <n v="1"/>
    <x v="6"/>
    <x v="0"/>
  </r>
  <r>
    <s v="TX501104"/>
    <x v="1"/>
    <x v="12"/>
    <n v="104.4"/>
    <n v="417.6"/>
    <x v="43"/>
    <d v="2025-02-13T00:00:00"/>
    <s v="F"/>
    <x v="0"/>
    <x v="0"/>
    <x v="0"/>
    <x v="9"/>
    <n v="0"/>
    <x v="6"/>
    <x v="2"/>
  </r>
  <r>
    <s v="TX501105"/>
    <x v="3"/>
    <x v="0"/>
    <n v="41.6"/>
    <n v="41.6"/>
    <x v="43"/>
    <d v="2025-02-16T00:00:00"/>
    <s v="M"/>
    <x v="3"/>
    <x v="0"/>
    <x v="0"/>
    <x v="11"/>
    <n v="3"/>
    <x v="6"/>
    <x v="1"/>
  </r>
  <r>
    <s v="TX501106"/>
    <x v="19"/>
    <x v="1"/>
    <n v="16.399999999999999"/>
    <n v="32.799999999999997"/>
    <x v="43"/>
    <d v="2025-02-14T00:00:00"/>
    <s v="O"/>
    <x v="0"/>
    <x v="2"/>
    <x v="0"/>
    <x v="11"/>
    <n v="1"/>
    <x v="6"/>
    <x v="3"/>
  </r>
  <r>
    <s v="TX501107"/>
    <x v="8"/>
    <x v="1"/>
    <n v="22"/>
    <n v="44"/>
    <x v="43"/>
    <d v="2025-02-14T00:00:00"/>
    <s v="M"/>
    <x v="2"/>
    <x v="2"/>
    <x v="0"/>
    <x v="53"/>
    <n v="1"/>
    <x v="6"/>
    <x v="1"/>
  </r>
  <r>
    <s v="TX501108"/>
    <x v="15"/>
    <x v="1"/>
    <n v="33.6"/>
    <n v="67.2"/>
    <x v="43"/>
    <d v="2025-02-18T00:00:00"/>
    <s v="F"/>
    <x v="0"/>
    <x v="0"/>
    <x v="0"/>
    <x v="21"/>
    <n v="5"/>
    <x v="6"/>
    <x v="2"/>
  </r>
  <r>
    <s v="TX501109"/>
    <x v="11"/>
    <x v="13"/>
    <n v="43"/>
    <n v="258"/>
    <x v="43"/>
    <d v="2025-02-14T00:00:00"/>
    <s v="F"/>
    <x v="2"/>
    <x v="0"/>
    <x v="0"/>
    <x v="21"/>
    <n v="1"/>
    <x v="6"/>
    <x v="2"/>
  </r>
  <r>
    <s v="TX501110"/>
    <x v="6"/>
    <x v="9"/>
    <n v="108.8"/>
    <n v="544"/>
    <x v="43"/>
    <d v="2025-02-16T00:00:00"/>
    <s v="F"/>
    <x v="4"/>
    <x v="2"/>
    <x v="0"/>
    <x v="21"/>
    <n v="3"/>
    <x v="6"/>
    <x v="2"/>
  </r>
  <r>
    <s v="TX501111"/>
    <x v="0"/>
    <x v="11"/>
    <n v="29.3"/>
    <n v="263.7"/>
    <x v="43"/>
    <d v="2025-02-15T00:00:00"/>
    <s v="M"/>
    <x v="4"/>
    <x v="2"/>
    <x v="0"/>
    <x v="21"/>
    <n v="2"/>
    <x v="6"/>
    <x v="1"/>
  </r>
  <r>
    <s v="TX501112"/>
    <x v="2"/>
    <x v="0"/>
    <n v="122.7"/>
    <n v="122.7"/>
    <x v="43"/>
    <d v="2025-02-16T00:00:00"/>
    <s v="O"/>
    <x v="0"/>
    <x v="2"/>
    <x v="0"/>
    <x v="1"/>
    <n v="3"/>
    <x v="6"/>
    <x v="3"/>
  </r>
  <r>
    <s v="TX501113"/>
    <x v="4"/>
    <x v="3"/>
    <n v="22.9"/>
    <n v="160.29999999999998"/>
    <x v="43"/>
    <d v="2025-02-14T00:00:00"/>
    <s v="F"/>
    <x v="0"/>
    <x v="0"/>
    <x v="0"/>
    <x v="42"/>
    <n v="1"/>
    <x v="6"/>
    <x v="2"/>
  </r>
  <r>
    <s v="TX501114"/>
    <x v="8"/>
    <x v="7"/>
    <n v="25.5"/>
    <n v="255"/>
    <x v="43"/>
    <d v="2025-02-20T00:00:00"/>
    <s v="F"/>
    <x v="0"/>
    <x v="0"/>
    <x v="0"/>
    <x v="33"/>
    <n v="7"/>
    <x v="6"/>
    <x v="2"/>
  </r>
  <r>
    <s v="TX501115"/>
    <x v="17"/>
    <x v="2"/>
    <n v="23.4"/>
    <n v="70.199999999999989"/>
    <x v="43"/>
    <d v="2025-02-17T00:00:00"/>
    <s v="F"/>
    <x v="0"/>
    <x v="2"/>
    <x v="0"/>
    <x v="3"/>
    <n v="4"/>
    <x v="6"/>
    <x v="2"/>
  </r>
  <r>
    <s v="TX501116"/>
    <x v="5"/>
    <x v="8"/>
    <n v="27.4"/>
    <n v="219.2"/>
    <x v="43"/>
    <d v="2025-02-16T00:00:00"/>
    <s v="F"/>
    <x v="2"/>
    <x v="0"/>
    <x v="0"/>
    <x v="3"/>
    <n v="3"/>
    <x v="6"/>
    <x v="2"/>
  </r>
  <r>
    <s v="TX501117"/>
    <x v="5"/>
    <x v="9"/>
    <n v="68.400000000000006"/>
    <n v="342"/>
    <x v="43"/>
    <d v="2025-02-14T00:00:00"/>
    <s v="F"/>
    <x v="0"/>
    <x v="0"/>
    <x v="0"/>
    <x v="3"/>
    <n v="1"/>
    <x v="6"/>
    <x v="2"/>
  </r>
  <r>
    <s v="TX501118"/>
    <x v="6"/>
    <x v="0"/>
    <n v="51.9"/>
    <n v="51.9"/>
    <x v="43"/>
    <d v="2025-02-13T00:00:00"/>
    <s v="F"/>
    <x v="0"/>
    <x v="0"/>
    <x v="0"/>
    <x v="3"/>
    <n v="0"/>
    <x v="6"/>
    <x v="2"/>
  </r>
  <r>
    <s v="TX501119"/>
    <x v="0"/>
    <x v="9"/>
    <n v="26.4"/>
    <n v="132"/>
    <x v="43"/>
    <d v="2025-02-16T00:00:00"/>
    <s v="F"/>
    <x v="0"/>
    <x v="2"/>
    <x v="0"/>
    <x v="3"/>
    <n v="3"/>
    <x v="6"/>
    <x v="2"/>
  </r>
  <r>
    <s v="TX501120"/>
    <x v="12"/>
    <x v="1"/>
    <n v="117"/>
    <n v="234"/>
    <x v="43"/>
    <d v="2025-02-14T00:00:00"/>
    <s v="F"/>
    <x v="1"/>
    <x v="1"/>
    <x v="0"/>
    <x v="3"/>
    <n v="1"/>
    <x v="6"/>
    <x v="2"/>
  </r>
  <r>
    <s v="TX501121"/>
    <x v="7"/>
    <x v="2"/>
    <n v="49.6"/>
    <n v="148.80000000000001"/>
    <x v="44"/>
    <d v="2025-02-16T00:00:00"/>
    <s v="F"/>
    <x v="0"/>
    <x v="0"/>
    <x v="0"/>
    <x v="3"/>
    <n v="2"/>
    <x v="6"/>
    <x v="2"/>
  </r>
  <r>
    <s v="TX501122"/>
    <x v="4"/>
    <x v="2"/>
    <n v="38"/>
    <n v="114"/>
    <x v="44"/>
    <d v="2025-02-17T00:00:00"/>
    <s v="M"/>
    <x v="2"/>
    <x v="4"/>
    <x v="0"/>
    <x v="3"/>
    <n v="3"/>
    <x v="6"/>
    <x v="1"/>
  </r>
  <r>
    <s v="TX501123"/>
    <x v="0"/>
    <x v="2"/>
    <n v="20.6"/>
    <n v="61.800000000000004"/>
    <x v="44"/>
    <d v="2025-02-16T00:00:00"/>
    <s v="F"/>
    <x v="4"/>
    <x v="2"/>
    <x v="0"/>
    <x v="3"/>
    <n v="2"/>
    <x v="6"/>
    <x v="2"/>
  </r>
  <r>
    <s v="TX501124"/>
    <x v="0"/>
    <x v="1"/>
    <n v="16"/>
    <n v="32"/>
    <x v="44"/>
    <d v="2025-02-15T00:00:00"/>
    <s v="M"/>
    <x v="1"/>
    <x v="1"/>
    <x v="0"/>
    <x v="49"/>
    <n v="1"/>
    <x v="6"/>
    <x v="1"/>
  </r>
  <r>
    <s v="TX501125"/>
    <x v="15"/>
    <x v="12"/>
    <n v="49.3"/>
    <n v="197.2"/>
    <x v="44"/>
    <d v="2025-02-15T00:00:00"/>
    <s v="F"/>
    <x v="2"/>
    <x v="0"/>
    <x v="0"/>
    <x v="23"/>
    <n v="1"/>
    <x v="6"/>
    <x v="2"/>
  </r>
  <r>
    <s v="TX501126"/>
    <x v="9"/>
    <x v="1"/>
    <n v="24.1"/>
    <n v="48.2"/>
    <x v="44"/>
    <d v="2025-02-18T00:00:00"/>
    <s v="F"/>
    <x v="0"/>
    <x v="0"/>
    <x v="0"/>
    <x v="6"/>
    <n v="4"/>
    <x v="6"/>
    <x v="2"/>
  </r>
  <r>
    <s v="TX501127"/>
    <x v="15"/>
    <x v="8"/>
    <n v="32.700000000000003"/>
    <n v="261.60000000000002"/>
    <x v="44"/>
    <d v="2025-02-15T00:00:00"/>
    <s v="F"/>
    <x v="1"/>
    <x v="0"/>
    <x v="0"/>
    <x v="6"/>
    <n v="1"/>
    <x v="6"/>
    <x v="2"/>
  </r>
  <r>
    <s v="TX501128"/>
    <x v="6"/>
    <x v="2"/>
    <n v="74.400000000000006"/>
    <n v="223.20000000000002"/>
    <x v="44"/>
    <d v="2025-02-15T00:00:00"/>
    <s v="F"/>
    <x v="3"/>
    <x v="2"/>
    <x v="0"/>
    <x v="8"/>
    <n v="1"/>
    <x v="6"/>
    <x v="2"/>
  </r>
  <r>
    <s v="TX501129"/>
    <x v="12"/>
    <x v="0"/>
    <n v="45.6"/>
    <n v="45.6"/>
    <x v="44"/>
    <d v="2025-02-18T00:00:00"/>
    <s v="F"/>
    <x v="4"/>
    <x v="0"/>
    <x v="0"/>
    <x v="8"/>
    <n v="4"/>
    <x v="6"/>
    <x v="2"/>
  </r>
  <r>
    <s v="TX501130"/>
    <x v="8"/>
    <x v="8"/>
    <n v="19.600000000000001"/>
    <n v="156.80000000000001"/>
    <x v="44"/>
    <d v="2025-02-27T00:00:00"/>
    <s v="F"/>
    <x v="0"/>
    <x v="0"/>
    <x v="0"/>
    <x v="8"/>
    <n v="13"/>
    <x v="6"/>
    <x v="2"/>
  </r>
  <r>
    <s v="TX501131"/>
    <x v="9"/>
    <x v="0"/>
    <n v="51.8"/>
    <n v="51.8"/>
    <x v="44"/>
    <d v="2025-02-15T00:00:00"/>
    <s v="F"/>
    <x v="1"/>
    <x v="0"/>
    <x v="0"/>
    <x v="8"/>
    <n v="1"/>
    <x v="6"/>
    <x v="2"/>
  </r>
  <r>
    <s v="TX501132"/>
    <x v="6"/>
    <x v="0"/>
    <n v="74.7"/>
    <n v="74.7"/>
    <x v="44"/>
    <d v="2025-02-15T00:00:00"/>
    <s v="M"/>
    <x v="0"/>
    <x v="1"/>
    <x v="0"/>
    <x v="8"/>
    <n v="1"/>
    <x v="6"/>
    <x v="1"/>
  </r>
  <r>
    <s v="TX501133"/>
    <x v="19"/>
    <x v="2"/>
    <n v="22.4"/>
    <n v="67.199999999999989"/>
    <x v="44"/>
    <d v="2025-02-15T00:00:00"/>
    <s v="F"/>
    <x v="1"/>
    <x v="2"/>
    <x v="0"/>
    <x v="9"/>
    <n v="1"/>
    <x v="6"/>
    <x v="2"/>
  </r>
  <r>
    <s v="TX501134"/>
    <x v="1"/>
    <x v="12"/>
    <n v="31.4"/>
    <n v="125.6"/>
    <x v="44"/>
    <d v="2025-02-15T00:00:00"/>
    <s v="F"/>
    <x v="1"/>
    <x v="0"/>
    <x v="0"/>
    <x v="9"/>
    <n v="1"/>
    <x v="6"/>
    <x v="2"/>
  </r>
  <r>
    <s v="TX501135"/>
    <x v="6"/>
    <x v="0"/>
    <n v="94"/>
    <n v="94"/>
    <x v="44"/>
    <d v="2025-02-14T00:00:00"/>
    <s v="F"/>
    <x v="1"/>
    <x v="2"/>
    <x v="0"/>
    <x v="10"/>
    <n v="0"/>
    <x v="6"/>
    <x v="2"/>
  </r>
  <r>
    <s v="TX501136"/>
    <x v="10"/>
    <x v="0"/>
    <n v="22.3"/>
    <n v="22.3"/>
    <x v="44"/>
    <d v="2025-02-15T00:00:00"/>
    <s v="M"/>
    <x v="4"/>
    <x v="0"/>
    <x v="0"/>
    <x v="20"/>
    <n v="1"/>
    <x v="6"/>
    <x v="1"/>
  </r>
  <r>
    <s v="TX501137"/>
    <x v="0"/>
    <x v="0"/>
    <n v="21.9"/>
    <n v="21.9"/>
    <x v="44"/>
    <d v="2025-02-17T00:00:00"/>
    <s v="F"/>
    <x v="2"/>
    <x v="0"/>
    <x v="0"/>
    <x v="21"/>
    <n v="3"/>
    <x v="6"/>
    <x v="2"/>
  </r>
  <r>
    <s v="TX501138"/>
    <x v="17"/>
    <x v="2"/>
    <n v="27"/>
    <n v="81"/>
    <x v="44"/>
    <d v="2025-02-16T00:00:00"/>
    <s v="F"/>
    <x v="4"/>
    <x v="2"/>
    <x v="0"/>
    <x v="2"/>
    <n v="2"/>
    <x v="6"/>
    <x v="2"/>
  </r>
  <r>
    <s v="TX501139"/>
    <x v="2"/>
    <x v="12"/>
    <n v="149.6"/>
    <n v="598.4"/>
    <x v="44"/>
    <d v="2025-02-14T00:00:00"/>
    <s v="F"/>
    <x v="4"/>
    <x v="0"/>
    <x v="0"/>
    <x v="22"/>
    <n v="0"/>
    <x v="6"/>
    <x v="2"/>
  </r>
  <r>
    <s v="TX501140"/>
    <x v="2"/>
    <x v="12"/>
    <n v="129.1"/>
    <n v="516.4"/>
    <x v="44"/>
    <d v="2025-02-24T00:00:00"/>
    <s v="M"/>
    <x v="0"/>
    <x v="1"/>
    <x v="0"/>
    <x v="3"/>
    <n v="10"/>
    <x v="6"/>
    <x v="1"/>
  </r>
  <r>
    <s v="TX501141"/>
    <x v="1"/>
    <x v="4"/>
    <n v="40.4"/>
    <n v="484.79999999999995"/>
    <x v="44"/>
    <d v="2025-02-15T00:00:00"/>
    <s v="M"/>
    <x v="1"/>
    <x v="1"/>
    <x v="0"/>
    <x v="3"/>
    <n v="1"/>
    <x v="6"/>
    <x v="1"/>
  </r>
  <r>
    <s v="TX501142"/>
    <x v="4"/>
    <x v="2"/>
    <n v="48.5"/>
    <n v="145.5"/>
    <x v="44"/>
    <d v="2025-02-16T00:00:00"/>
    <s v="F"/>
    <x v="0"/>
    <x v="4"/>
    <x v="0"/>
    <x v="3"/>
    <n v="2"/>
    <x v="6"/>
    <x v="2"/>
  </r>
  <r>
    <s v="TX501143"/>
    <x v="9"/>
    <x v="1"/>
    <n v="37.6"/>
    <n v="75.2"/>
    <x v="44"/>
    <d v="2025-02-16T00:00:00"/>
    <s v="F"/>
    <x v="1"/>
    <x v="2"/>
    <x v="0"/>
    <x v="3"/>
    <n v="2"/>
    <x v="6"/>
    <x v="2"/>
  </r>
  <r>
    <s v="TX501144"/>
    <x v="8"/>
    <x v="1"/>
    <n v="19.600000000000001"/>
    <n v="39.200000000000003"/>
    <x v="44"/>
    <d v="2025-02-15T00:00:00"/>
    <s v="M"/>
    <x v="3"/>
    <x v="4"/>
    <x v="0"/>
    <x v="43"/>
    <n v="1"/>
    <x v="6"/>
    <x v="1"/>
  </r>
  <r>
    <s v="TX501145"/>
    <x v="8"/>
    <x v="9"/>
    <n v="18.5"/>
    <n v="92.5"/>
    <x v="44"/>
    <d v="2025-02-15T00:00:00"/>
    <s v="F"/>
    <x v="2"/>
    <x v="1"/>
    <x v="0"/>
    <x v="6"/>
    <n v="1"/>
    <x v="6"/>
    <x v="2"/>
  </r>
  <r>
    <s v="TX501146"/>
    <x v="5"/>
    <x v="2"/>
    <n v="25.5"/>
    <n v="76.5"/>
    <x v="44"/>
    <d v="2025-02-16T00:00:00"/>
    <s v="F"/>
    <x v="4"/>
    <x v="1"/>
    <x v="0"/>
    <x v="6"/>
    <n v="2"/>
    <x v="6"/>
    <x v="2"/>
  </r>
  <r>
    <s v="TX501147"/>
    <x v="2"/>
    <x v="1"/>
    <n v="94.7"/>
    <n v="189.4"/>
    <x v="44"/>
    <d v="2025-02-15T00:00:00"/>
    <s v="F"/>
    <x v="2"/>
    <x v="0"/>
    <x v="0"/>
    <x v="36"/>
    <n v="1"/>
    <x v="6"/>
    <x v="2"/>
  </r>
  <r>
    <s v="TX501148"/>
    <x v="1"/>
    <x v="13"/>
    <n v="38.799999999999997"/>
    <n v="232.79999999999998"/>
    <x v="44"/>
    <d v="2025-02-19T00:00:00"/>
    <s v="F"/>
    <x v="2"/>
    <x v="2"/>
    <x v="0"/>
    <x v="8"/>
    <n v="5"/>
    <x v="6"/>
    <x v="2"/>
  </r>
  <r>
    <s v="TX501149"/>
    <x v="9"/>
    <x v="1"/>
    <n v="49.4"/>
    <n v="98.8"/>
    <x v="45"/>
    <d v="2025-02-23T00:00:00"/>
    <s v="M"/>
    <x v="4"/>
    <x v="1"/>
    <x v="0"/>
    <x v="8"/>
    <n v="8"/>
    <x v="6"/>
    <x v="1"/>
  </r>
  <r>
    <s v="TX501150"/>
    <x v="7"/>
    <x v="2"/>
    <n v="68"/>
    <n v="204"/>
    <x v="45"/>
    <d v="2025-02-18T00:00:00"/>
    <s v="M"/>
    <x v="0"/>
    <x v="2"/>
    <x v="0"/>
    <x v="8"/>
    <n v="3"/>
    <x v="6"/>
    <x v="1"/>
  </r>
  <r>
    <s v="TX501151"/>
    <x v="15"/>
    <x v="3"/>
    <n v="63.7"/>
    <n v="445.90000000000003"/>
    <x v="45"/>
    <d v="2025-02-16T00:00:00"/>
    <s v="F"/>
    <x v="2"/>
    <x v="2"/>
    <x v="0"/>
    <x v="8"/>
    <n v="1"/>
    <x v="6"/>
    <x v="2"/>
  </r>
  <r>
    <s v="TX501152"/>
    <x v="10"/>
    <x v="1"/>
    <n v="66.2"/>
    <n v="132.4"/>
    <x v="45"/>
    <d v="2025-02-16T00:00:00"/>
    <s v="F"/>
    <x v="4"/>
    <x v="2"/>
    <x v="0"/>
    <x v="17"/>
    <n v="1"/>
    <x v="6"/>
    <x v="2"/>
  </r>
  <r>
    <s v="TX501153"/>
    <x v="12"/>
    <x v="2"/>
    <n v="32.299999999999997"/>
    <n v="96.899999999999991"/>
    <x v="45"/>
    <d v="2025-02-16T00:00:00"/>
    <s v="O"/>
    <x v="2"/>
    <x v="1"/>
    <x v="0"/>
    <x v="9"/>
    <n v="1"/>
    <x v="6"/>
    <x v="3"/>
  </r>
  <r>
    <s v="TX501154"/>
    <x v="4"/>
    <x v="1"/>
    <n v="66.900000000000006"/>
    <n v="133.80000000000001"/>
    <x v="45"/>
    <d v="2025-02-18T00:00:00"/>
    <s v="M"/>
    <x v="1"/>
    <x v="0"/>
    <x v="0"/>
    <x v="11"/>
    <n v="3"/>
    <x v="6"/>
    <x v="1"/>
  </r>
  <r>
    <s v="TX501155"/>
    <x v="4"/>
    <x v="4"/>
    <n v="25.2"/>
    <n v="302.39999999999998"/>
    <x v="45"/>
    <d v="2025-02-19T00:00:00"/>
    <s v="F"/>
    <x v="0"/>
    <x v="1"/>
    <x v="0"/>
    <x v="11"/>
    <n v="4"/>
    <x v="6"/>
    <x v="2"/>
  </r>
  <r>
    <s v="TX501156"/>
    <x v="10"/>
    <x v="13"/>
    <n v="29.5"/>
    <n v="177"/>
    <x v="45"/>
    <d v="2025-02-16T00:00:00"/>
    <s v="M"/>
    <x v="2"/>
    <x v="0"/>
    <x v="0"/>
    <x v="11"/>
    <n v="1"/>
    <x v="6"/>
    <x v="1"/>
  </r>
  <r>
    <s v="TX501157"/>
    <x v="8"/>
    <x v="9"/>
    <n v="21.6"/>
    <n v="108"/>
    <x v="45"/>
    <d v="2025-02-17T00:00:00"/>
    <s v="F"/>
    <x v="0"/>
    <x v="2"/>
    <x v="0"/>
    <x v="32"/>
    <n v="2"/>
    <x v="6"/>
    <x v="2"/>
  </r>
  <r>
    <s v="TX501158"/>
    <x v="12"/>
    <x v="2"/>
    <n v="69"/>
    <n v="207"/>
    <x v="45"/>
    <d v="2025-02-16T00:00:00"/>
    <s v="F"/>
    <x v="0"/>
    <x v="0"/>
    <x v="0"/>
    <x v="18"/>
    <n v="1"/>
    <x v="6"/>
    <x v="2"/>
  </r>
  <r>
    <s v="TX501159"/>
    <x v="7"/>
    <x v="1"/>
    <n v="115"/>
    <n v="230"/>
    <x v="45"/>
    <d v="2025-02-19T00:00:00"/>
    <s v="M"/>
    <x v="0"/>
    <x v="2"/>
    <x v="0"/>
    <x v="18"/>
    <n v="4"/>
    <x v="6"/>
    <x v="1"/>
  </r>
  <r>
    <s v="TX501160"/>
    <x v="2"/>
    <x v="1"/>
    <n v="109.3"/>
    <n v="218.6"/>
    <x v="45"/>
    <d v="2025-02-17T00:00:00"/>
    <s v=""/>
    <x v="3"/>
    <x v="1"/>
    <x v="0"/>
    <x v="19"/>
    <n v="2"/>
    <x v="6"/>
    <x v="0"/>
  </r>
  <r>
    <s v="TX501161"/>
    <x v="9"/>
    <x v="1"/>
    <n v="66.599999999999994"/>
    <n v="133.19999999999999"/>
    <x v="45"/>
    <d v="2025-02-18T00:00:00"/>
    <s v=""/>
    <x v="4"/>
    <x v="1"/>
    <x v="0"/>
    <x v="19"/>
    <n v="3"/>
    <x v="6"/>
    <x v="0"/>
  </r>
  <r>
    <s v="TX501162"/>
    <x v="12"/>
    <x v="9"/>
    <n v="47.7"/>
    <n v="238.5"/>
    <x v="45"/>
    <d v="2025-02-16T00:00:00"/>
    <s v="M"/>
    <x v="3"/>
    <x v="2"/>
    <x v="0"/>
    <x v="21"/>
    <n v="1"/>
    <x v="6"/>
    <x v="1"/>
  </r>
  <r>
    <s v="TX501163"/>
    <x v="8"/>
    <x v="1"/>
    <n v="46"/>
    <n v="92"/>
    <x v="45"/>
    <d v="2025-02-16T00:00:00"/>
    <s v="F"/>
    <x v="4"/>
    <x v="4"/>
    <x v="0"/>
    <x v="22"/>
    <n v="1"/>
    <x v="6"/>
    <x v="2"/>
  </r>
  <r>
    <s v="TX501164"/>
    <x v="1"/>
    <x v="13"/>
    <n v="39.299999999999997"/>
    <n v="235.79999999999998"/>
    <x v="45"/>
    <d v="2025-02-17T00:00:00"/>
    <s v="M"/>
    <x v="3"/>
    <x v="2"/>
    <x v="0"/>
    <x v="3"/>
    <n v="2"/>
    <x v="6"/>
    <x v="1"/>
  </r>
  <r>
    <s v="TX501165"/>
    <x v="9"/>
    <x v="0"/>
    <n v="70.2"/>
    <n v="70.2"/>
    <x v="45"/>
    <d v="2025-02-16T00:00:00"/>
    <s v="F"/>
    <x v="0"/>
    <x v="4"/>
    <x v="0"/>
    <x v="3"/>
    <n v="1"/>
    <x v="6"/>
    <x v="2"/>
  </r>
  <r>
    <s v="TX501166"/>
    <x v="3"/>
    <x v="12"/>
    <n v="71.5"/>
    <n v="286"/>
    <x v="45"/>
    <d v="2025-02-15T00:00:00"/>
    <s v="F"/>
    <x v="1"/>
    <x v="2"/>
    <x v="0"/>
    <x v="3"/>
    <n v="0"/>
    <x v="6"/>
    <x v="2"/>
  </r>
  <r>
    <s v="TX501167"/>
    <x v="10"/>
    <x v="3"/>
    <n v="31"/>
    <n v="217"/>
    <x v="45"/>
    <d v="2025-02-22T00:00:00"/>
    <s v="F"/>
    <x v="3"/>
    <x v="2"/>
    <x v="0"/>
    <x v="3"/>
    <n v="7"/>
    <x v="6"/>
    <x v="2"/>
  </r>
  <r>
    <s v="TX501168"/>
    <x v="2"/>
    <x v="9"/>
    <n v="68.2"/>
    <n v="341"/>
    <x v="45"/>
    <d v="2025-02-20T00:00:00"/>
    <s v="F"/>
    <x v="0"/>
    <x v="2"/>
    <x v="0"/>
    <x v="3"/>
    <n v="5"/>
    <x v="6"/>
    <x v="2"/>
  </r>
  <r>
    <s v="TX501169"/>
    <x v="2"/>
    <x v="0"/>
    <n v="91.4"/>
    <n v="91.4"/>
    <x v="45"/>
    <d v="2025-02-19T00:00:00"/>
    <s v="F"/>
    <x v="1"/>
    <x v="2"/>
    <x v="0"/>
    <x v="6"/>
    <n v="4"/>
    <x v="6"/>
    <x v="2"/>
  </r>
  <r>
    <s v="TX501170"/>
    <x v="6"/>
    <x v="7"/>
    <n v="112.9"/>
    <n v="1129"/>
    <x v="45"/>
    <d v="2025-02-16T00:00:00"/>
    <s v="F"/>
    <x v="0"/>
    <x v="0"/>
    <x v="0"/>
    <x v="6"/>
    <n v="1"/>
    <x v="6"/>
    <x v="2"/>
  </r>
  <r>
    <s v="TX501171"/>
    <x v="17"/>
    <x v="11"/>
    <n v="33.700000000000003"/>
    <n v="303.3"/>
    <x v="45"/>
    <d v="2025-02-16T00:00:00"/>
    <s v="F"/>
    <x v="1"/>
    <x v="2"/>
    <x v="0"/>
    <x v="8"/>
    <n v="1"/>
    <x v="6"/>
    <x v="2"/>
  </r>
  <r>
    <s v="TX501172"/>
    <x v="15"/>
    <x v="7"/>
    <n v="35.299999999999997"/>
    <n v="353"/>
    <x v="45"/>
    <d v="2025-02-17T00:00:00"/>
    <s v="M"/>
    <x v="2"/>
    <x v="0"/>
    <x v="0"/>
    <x v="8"/>
    <n v="2"/>
    <x v="6"/>
    <x v="1"/>
  </r>
  <r>
    <s v="TX501173"/>
    <x v="18"/>
    <x v="2"/>
    <n v="45.6"/>
    <n v="136.80000000000001"/>
    <x v="45"/>
    <d v="2025-02-19T00:00:00"/>
    <s v="M"/>
    <x v="3"/>
    <x v="0"/>
    <x v="0"/>
    <x v="8"/>
    <n v="4"/>
    <x v="6"/>
    <x v="1"/>
  </r>
  <r>
    <s v="TX501174"/>
    <x v="7"/>
    <x v="3"/>
    <n v="47.1"/>
    <n v="329.7"/>
    <x v="45"/>
    <d v="2025-02-16T00:00:00"/>
    <s v="F"/>
    <x v="4"/>
    <x v="2"/>
    <x v="0"/>
    <x v="9"/>
    <n v="1"/>
    <x v="6"/>
    <x v="2"/>
  </r>
  <r>
    <s v="TX501175"/>
    <x v="8"/>
    <x v="9"/>
    <n v="16.2"/>
    <n v="81"/>
    <x v="45"/>
    <d v="2025-02-17T00:00:00"/>
    <s v="F"/>
    <x v="3"/>
    <x v="2"/>
    <x v="0"/>
    <x v="19"/>
    <n v="2"/>
    <x v="6"/>
    <x v="2"/>
  </r>
  <r>
    <s v="TX501176"/>
    <x v="1"/>
    <x v="1"/>
    <n v="159.69999999999999"/>
    <n v="319.39999999999998"/>
    <x v="46"/>
    <d v="2025-02-17T00:00:00"/>
    <s v="M"/>
    <x v="4"/>
    <x v="0"/>
    <x v="0"/>
    <x v="13"/>
    <n v="1"/>
    <x v="7"/>
    <x v="1"/>
  </r>
  <r>
    <s v="TX501177"/>
    <x v="8"/>
    <x v="12"/>
    <n v="19"/>
    <n v="76"/>
    <x v="46"/>
    <d v="2025-02-23T00:00:00"/>
    <s v="F"/>
    <x v="2"/>
    <x v="2"/>
    <x v="0"/>
    <x v="21"/>
    <n v="7"/>
    <x v="7"/>
    <x v="2"/>
  </r>
  <r>
    <s v="TX501178"/>
    <x v="6"/>
    <x v="13"/>
    <n v="91.1"/>
    <n v="546.59999999999991"/>
    <x v="46"/>
    <d v="2025-02-25T00:00:00"/>
    <s v="F"/>
    <x v="4"/>
    <x v="0"/>
    <x v="0"/>
    <x v="21"/>
    <n v="9"/>
    <x v="7"/>
    <x v="2"/>
  </r>
  <r>
    <s v="TX501179"/>
    <x v="2"/>
    <x v="9"/>
    <n v="94.1"/>
    <n v="470.5"/>
    <x v="46"/>
    <d v="2025-02-19T00:00:00"/>
    <s v=""/>
    <x v="1"/>
    <x v="1"/>
    <x v="0"/>
    <x v="21"/>
    <n v="3"/>
    <x v="7"/>
    <x v="0"/>
  </r>
  <r>
    <s v="TX501180"/>
    <x v="9"/>
    <x v="11"/>
    <n v="21.1"/>
    <n v="189.9"/>
    <x v="46"/>
    <d v="2025-02-17T00:00:00"/>
    <s v="F"/>
    <x v="4"/>
    <x v="2"/>
    <x v="0"/>
    <x v="51"/>
    <n v="1"/>
    <x v="7"/>
    <x v="2"/>
  </r>
  <r>
    <s v="TX501181"/>
    <x v="8"/>
    <x v="3"/>
    <n v="15.3"/>
    <n v="107.10000000000001"/>
    <x v="46"/>
    <d v="2025-02-24T00:00:00"/>
    <s v="F"/>
    <x v="2"/>
    <x v="0"/>
    <x v="0"/>
    <x v="1"/>
    <n v="8"/>
    <x v="7"/>
    <x v="2"/>
  </r>
  <r>
    <s v="TX501182"/>
    <x v="15"/>
    <x v="12"/>
    <n v="21.3"/>
    <n v="85.2"/>
    <x v="46"/>
    <d v="2025-02-19T00:00:00"/>
    <s v="M"/>
    <x v="1"/>
    <x v="0"/>
    <x v="0"/>
    <x v="3"/>
    <n v="3"/>
    <x v="7"/>
    <x v="1"/>
  </r>
  <r>
    <s v="TX501183"/>
    <x v="0"/>
    <x v="1"/>
    <n v="23.2"/>
    <n v="46.4"/>
    <x v="46"/>
    <d v="2025-02-16T00:00:00"/>
    <s v=""/>
    <x v="3"/>
    <x v="1"/>
    <x v="0"/>
    <x v="3"/>
    <n v="0"/>
    <x v="7"/>
    <x v="0"/>
  </r>
  <r>
    <s v="TX501184"/>
    <x v="4"/>
    <x v="2"/>
    <n v="25.7"/>
    <n v="77.099999999999994"/>
    <x v="46"/>
    <d v="2025-02-17T00:00:00"/>
    <s v="M"/>
    <x v="4"/>
    <x v="0"/>
    <x v="0"/>
    <x v="3"/>
    <n v="1"/>
    <x v="7"/>
    <x v="1"/>
  </r>
  <r>
    <s v="TX501185"/>
    <x v="0"/>
    <x v="11"/>
    <n v="31.6"/>
    <n v="284.40000000000003"/>
    <x v="46"/>
    <d v="2025-02-18T00:00:00"/>
    <s v="F"/>
    <x v="0"/>
    <x v="0"/>
    <x v="0"/>
    <x v="3"/>
    <n v="2"/>
    <x v="7"/>
    <x v="2"/>
  </r>
  <r>
    <s v="TX501186"/>
    <x v="6"/>
    <x v="0"/>
    <n v="64.2"/>
    <n v="64.2"/>
    <x v="46"/>
    <d v="2025-02-21T00:00:00"/>
    <s v="M"/>
    <x v="0"/>
    <x v="0"/>
    <x v="0"/>
    <x v="3"/>
    <n v="5"/>
    <x v="7"/>
    <x v="1"/>
  </r>
  <r>
    <s v="TX501187"/>
    <x v="8"/>
    <x v="1"/>
    <n v="55.8"/>
    <n v="111.6"/>
    <x v="46"/>
    <d v="2025-02-18T00:00:00"/>
    <s v=""/>
    <x v="0"/>
    <x v="0"/>
    <x v="0"/>
    <x v="3"/>
    <n v="2"/>
    <x v="7"/>
    <x v="0"/>
  </r>
  <r>
    <s v="TX501188"/>
    <x v="8"/>
    <x v="1"/>
    <n v="28.1"/>
    <n v="56.2"/>
    <x v="46"/>
    <d v="2025-02-17T00:00:00"/>
    <s v="F"/>
    <x v="4"/>
    <x v="1"/>
    <x v="0"/>
    <x v="3"/>
    <n v="1"/>
    <x v="7"/>
    <x v="2"/>
  </r>
  <r>
    <s v="TX501189"/>
    <x v="0"/>
    <x v="1"/>
    <n v="11.6"/>
    <n v="23.2"/>
    <x v="46"/>
    <d v="2025-02-18T00:00:00"/>
    <s v="F"/>
    <x v="1"/>
    <x v="0"/>
    <x v="0"/>
    <x v="24"/>
    <n v="2"/>
    <x v="7"/>
    <x v="2"/>
  </r>
  <r>
    <s v="TX501190"/>
    <x v="5"/>
    <x v="2"/>
    <n v="50.4"/>
    <n v="151.19999999999999"/>
    <x v="46"/>
    <d v="2025-02-17T00:00:00"/>
    <s v="M"/>
    <x v="4"/>
    <x v="2"/>
    <x v="0"/>
    <x v="25"/>
    <n v="1"/>
    <x v="7"/>
    <x v="1"/>
  </r>
  <r>
    <s v="TX501191"/>
    <x v="6"/>
    <x v="13"/>
    <n v="48.3"/>
    <n v="289.79999999999995"/>
    <x v="46"/>
    <d v="2025-02-20T00:00:00"/>
    <s v="F"/>
    <x v="0"/>
    <x v="0"/>
    <x v="0"/>
    <x v="25"/>
    <n v="4"/>
    <x v="7"/>
    <x v="2"/>
  </r>
  <r>
    <s v="TX501192"/>
    <x v="17"/>
    <x v="3"/>
    <n v="32.200000000000003"/>
    <n v="225.40000000000003"/>
    <x v="46"/>
    <d v="2025-02-18T00:00:00"/>
    <s v="F"/>
    <x v="2"/>
    <x v="0"/>
    <x v="0"/>
    <x v="25"/>
    <n v="2"/>
    <x v="7"/>
    <x v="2"/>
  </r>
  <r>
    <s v="TX501193"/>
    <x v="7"/>
    <x v="31"/>
    <n v="48.5"/>
    <n v="1358"/>
    <x v="46"/>
    <d v="2025-02-17T00:00:00"/>
    <s v="M"/>
    <x v="0"/>
    <x v="0"/>
    <x v="0"/>
    <x v="5"/>
    <n v="1"/>
    <x v="7"/>
    <x v="1"/>
  </r>
  <r>
    <s v="TX501194"/>
    <x v="2"/>
    <x v="9"/>
    <n v="62"/>
    <n v="310"/>
    <x v="46"/>
    <d v="2025-02-19T00:00:00"/>
    <s v="F"/>
    <x v="1"/>
    <x v="0"/>
    <x v="0"/>
    <x v="6"/>
    <n v="3"/>
    <x v="7"/>
    <x v="2"/>
  </r>
  <r>
    <s v="TX501195"/>
    <x v="8"/>
    <x v="2"/>
    <n v="32.1"/>
    <n v="96.300000000000011"/>
    <x v="47"/>
    <d v="2025-02-19T00:00:00"/>
    <s v="M"/>
    <x v="0"/>
    <x v="0"/>
    <x v="0"/>
    <x v="6"/>
    <n v="2"/>
    <x v="7"/>
    <x v="1"/>
  </r>
  <r>
    <s v="TX501196"/>
    <x v="12"/>
    <x v="2"/>
    <n v="106.1"/>
    <n v="318.29999999999995"/>
    <x v="47"/>
    <d v="2025-02-19T00:00:00"/>
    <s v="M"/>
    <x v="0"/>
    <x v="1"/>
    <x v="0"/>
    <x v="7"/>
    <n v="2"/>
    <x v="7"/>
    <x v="1"/>
  </r>
  <r>
    <s v="TX501197"/>
    <x v="10"/>
    <x v="2"/>
    <n v="23.5"/>
    <n v="70.5"/>
    <x v="47"/>
    <d v="2025-02-20T00:00:00"/>
    <s v="M"/>
    <x v="0"/>
    <x v="4"/>
    <x v="0"/>
    <x v="7"/>
    <n v="3"/>
    <x v="7"/>
    <x v="1"/>
  </r>
  <r>
    <s v="TX501198"/>
    <x v="1"/>
    <x v="1"/>
    <n v="35.6"/>
    <n v="71.2"/>
    <x v="47"/>
    <d v="2025-02-22T00:00:00"/>
    <s v="M"/>
    <x v="4"/>
    <x v="0"/>
    <x v="0"/>
    <x v="8"/>
    <n v="5"/>
    <x v="7"/>
    <x v="1"/>
  </r>
  <r>
    <s v="TX501199"/>
    <x v="1"/>
    <x v="1"/>
    <n v="63.5"/>
    <n v="127"/>
    <x v="47"/>
    <d v="2025-02-17T00:00:00"/>
    <s v="F"/>
    <x v="1"/>
    <x v="2"/>
    <x v="0"/>
    <x v="8"/>
    <n v="0"/>
    <x v="7"/>
    <x v="2"/>
  </r>
  <r>
    <s v="TX501200"/>
    <x v="6"/>
    <x v="3"/>
    <n v="82.9"/>
    <n v="580.30000000000007"/>
    <x v="47"/>
    <d v="2025-02-22T00:00:00"/>
    <s v="F"/>
    <x v="4"/>
    <x v="0"/>
    <x v="0"/>
    <x v="9"/>
    <n v="5"/>
    <x v="7"/>
    <x v="2"/>
  </r>
  <r>
    <s v="TX501201"/>
    <x v="6"/>
    <x v="1"/>
    <n v="83.6"/>
    <n v="167.2"/>
    <x v="47"/>
    <d v="2025-02-22T00:00:00"/>
    <s v="F"/>
    <x v="0"/>
    <x v="0"/>
    <x v="0"/>
    <x v="11"/>
    <n v="5"/>
    <x v="7"/>
    <x v="2"/>
  </r>
  <r>
    <s v="TX501202"/>
    <x v="4"/>
    <x v="1"/>
    <n v="29.4"/>
    <n v="58.8"/>
    <x v="47"/>
    <d v="2025-02-17T00:00:00"/>
    <s v="F"/>
    <x v="0"/>
    <x v="1"/>
    <x v="0"/>
    <x v="30"/>
    <n v="0"/>
    <x v="7"/>
    <x v="2"/>
  </r>
  <r>
    <s v="TX501203"/>
    <x v="2"/>
    <x v="2"/>
    <n v="107.1"/>
    <n v="321.29999999999995"/>
    <x v="47"/>
    <d v="2025-02-21T00:00:00"/>
    <s v="F"/>
    <x v="2"/>
    <x v="0"/>
    <x v="0"/>
    <x v="20"/>
    <n v="4"/>
    <x v="7"/>
    <x v="2"/>
  </r>
  <r>
    <s v="TX501204"/>
    <x v="2"/>
    <x v="0"/>
    <n v="62.7"/>
    <n v="62.7"/>
    <x v="47"/>
    <d v="2025-02-21T00:00:00"/>
    <s v="M"/>
    <x v="1"/>
    <x v="0"/>
    <x v="0"/>
    <x v="21"/>
    <n v="4"/>
    <x v="7"/>
    <x v="1"/>
  </r>
  <r>
    <s v="TX501205"/>
    <x v="11"/>
    <x v="0"/>
    <n v="41.6"/>
    <n v="41.6"/>
    <x v="47"/>
    <d v="2025-02-18T00:00:00"/>
    <s v="M"/>
    <x v="0"/>
    <x v="1"/>
    <x v="0"/>
    <x v="1"/>
    <n v="1"/>
    <x v="7"/>
    <x v="1"/>
  </r>
  <r>
    <s v="TX501206"/>
    <x v="6"/>
    <x v="0"/>
    <n v="44.2"/>
    <n v="44.2"/>
    <x v="47"/>
    <d v="2025-02-18T00:00:00"/>
    <s v="O"/>
    <x v="0"/>
    <x v="1"/>
    <x v="0"/>
    <x v="1"/>
    <n v="1"/>
    <x v="7"/>
    <x v="3"/>
  </r>
  <r>
    <s v="TX501207"/>
    <x v="4"/>
    <x v="13"/>
    <n v="40.4"/>
    <n v="242.39999999999998"/>
    <x v="47"/>
    <d v="2025-03-02T00:00:00"/>
    <s v="F"/>
    <x v="2"/>
    <x v="0"/>
    <x v="0"/>
    <x v="22"/>
    <n v="13"/>
    <x v="7"/>
    <x v="2"/>
  </r>
  <r>
    <s v="TX501208"/>
    <x v="15"/>
    <x v="13"/>
    <n v="59.6"/>
    <n v="357.6"/>
    <x v="47"/>
    <d v="2025-02-18T00:00:00"/>
    <s v="F"/>
    <x v="4"/>
    <x v="0"/>
    <x v="0"/>
    <x v="34"/>
    <n v="1"/>
    <x v="7"/>
    <x v="2"/>
  </r>
  <r>
    <s v="TX501209"/>
    <x v="17"/>
    <x v="4"/>
    <n v="63.8"/>
    <n v="765.59999999999991"/>
    <x v="47"/>
    <d v="2025-02-18T00:00:00"/>
    <s v="M"/>
    <x v="1"/>
    <x v="0"/>
    <x v="0"/>
    <x v="3"/>
    <n v="1"/>
    <x v="7"/>
    <x v="1"/>
  </r>
  <r>
    <s v="TX501210"/>
    <x v="9"/>
    <x v="13"/>
    <n v="30.8"/>
    <n v="184.8"/>
    <x v="47"/>
    <d v="2025-02-19T00:00:00"/>
    <s v="M"/>
    <x v="4"/>
    <x v="0"/>
    <x v="0"/>
    <x v="3"/>
    <n v="2"/>
    <x v="7"/>
    <x v="1"/>
  </r>
  <r>
    <s v="TX501211"/>
    <x v="1"/>
    <x v="1"/>
    <n v="41.5"/>
    <n v="83"/>
    <x v="47"/>
    <d v="2025-02-20T00:00:00"/>
    <s v="O"/>
    <x v="0"/>
    <x v="0"/>
    <x v="0"/>
    <x v="3"/>
    <n v="3"/>
    <x v="7"/>
    <x v="3"/>
  </r>
  <r>
    <s v="TX501212"/>
    <x v="10"/>
    <x v="12"/>
    <n v="44.7"/>
    <n v="178.8"/>
    <x v="47"/>
    <d v="2025-02-19T00:00:00"/>
    <s v="F"/>
    <x v="2"/>
    <x v="1"/>
    <x v="0"/>
    <x v="3"/>
    <n v="2"/>
    <x v="7"/>
    <x v="2"/>
  </r>
  <r>
    <s v="TX501213"/>
    <x v="12"/>
    <x v="1"/>
    <n v="64.099999999999994"/>
    <n v="128.19999999999999"/>
    <x v="47"/>
    <d v="2025-02-21T00:00:00"/>
    <s v="F"/>
    <x v="1"/>
    <x v="4"/>
    <x v="0"/>
    <x v="3"/>
    <n v="4"/>
    <x v="7"/>
    <x v="2"/>
  </r>
  <r>
    <s v="TX501214"/>
    <x v="8"/>
    <x v="0"/>
    <n v="15.9"/>
    <n v="15.9"/>
    <x v="47"/>
    <d v="2025-02-20T00:00:00"/>
    <s v=""/>
    <x v="1"/>
    <x v="0"/>
    <x v="0"/>
    <x v="3"/>
    <n v="3"/>
    <x v="7"/>
    <x v="0"/>
  </r>
  <r>
    <s v="TX501215"/>
    <x v="6"/>
    <x v="1"/>
    <n v="78.7"/>
    <n v="157.4"/>
    <x v="47"/>
    <d v="2025-02-17T00:00:00"/>
    <s v="F"/>
    <x v="2"/>
    <x v="1"/>
    <x v="0"/>
    <x v="3"/>
    <n v="0"/>
    <x v="7"/>
    <x v="2"/>
  </r>
  <r>
    <s v="TX501216"/>
    <x v="5"/>
    <x v="4"/>
    <n v="29.6"/>
    <n v="355.20000000000005"/>
    <x v="47"/>
    <d v="2025-02-21T00:00:00"/>
    <s v="M"/>
    <x v="2"/>
    <x v="4"/>
    <x v="0"/>
    <x v="3"/>
    <n v="4"/>
    <x v="7"/>
    <x v="1"/>
  </r>
  <r>
    <s v="TX501217"/>
    <x v="8"/>
    <x v="12"/>
    <n v="21.5"/>
    <n v="86"/>
    <x v="47"/>
    <d v="2025-02-20T00:00:00"/>
    <s v="M"/>
    <x v="1"/>
    <x v="0"/>
    <x v="0"/>
    <x v="3"/>
    <n v="3"/>
    <x v="7"/>
    <x v="1"/>
  </r>
  <r>
    <s v="TX501218"/>
    <x v="9"/>
    <x v="2"/>
    <n v="74.900000000000006"/>
    <n v="224.70000000000002"/>
    <x v="47"/>
    <d v="2025-02-26T00:00:00"/>
    <s v="M"/>
    <x v="3"/>
    <x v="1"/>
    <x v="0"/>
    <x v="3"/>
    <n v="9"/>
    <x v="7"/>
    <x v="1"/>
  </r>
  <r>
    <s v="TX501219"/>
    <x v="10"/>
    <x v="13"/>
    <n v="45"/>
    <n v="270"/>
    <x v="47"/>
    <d v="2025-02-22T00:00:00"/>
    <s v="F"/>
    <x v="2"/>
    <x v="0"/>
    <x v="0"/>
    <x v="3"/>
    <n v="5"/>
    <x v="7"/>
    <x v="2"/>
  </r>
  <r>
    <s v="TX501220"/>
    <x v="7"/>
    <x v="33"/>
    <n v="37.9"/>
    <n v="1288.5999999999999"/>
    <x v="47"/>
    <d v="2025-02-18T00:00:00"/>
    <s v="M"/>
    <x v="0"/>
    <x v="0"/>
    <x v="0"/>
    <x v="3"/>
    <n v="1"/>
    <x v="7"/>
    <x v="1"/>
  </r>
  <r>
    <s v="TX501221"/>
    <x v="6"/>
    <x v="2"/>
    <n v="56.6"/>
    <n v="169.8"/>
    <x v="47"/>
    <d v="2025-02-18T00:00:00"/>
    <s v="M"/>
    <x v="3"/>
    <x v="0"/>
    <x v="0"/>
    <x v="3"/>
    <n v="1"/>
    <x v="7"/>
    <x v="1"/>
  </r>
  <r>
    <s v="TX501222"/>
    <x v="3"/>
    <x v="15"/>
    <n v="84.5"/>
    <n v="1098.5"/>
    <x v="47"/>
    <d v="2025-02-20T00:00:00"/>
    <s v="F"/>
    <x v="1"/>
    <x v="4"/>
    <x v="0"/>
    <x v="3"/>
    <n v="3"/>
    <x v="7"/>
    <x v="2"/>
  </r>
  <r>
    <s v="TX501223"/>
    <x v="2"/>
    <x v="9"/>
    <n v="105.4"/>
    <n v="527"/>
    <x v="47"/>
    <d v="2025-02-19T00:00:00"/>
    <s v="F"/>
    <x v="1"/>
    <x v="1"/>
    <x v="0"/>
    <x v="3"/>
    <n v="2"/>
    <x v="7"/>
    <x v="2"/>
  </r>
  <r>
    <s v="TX501224"/>
    <x v="18"/>
    <x v="3"/>
    <n v="39.4"/>
    <n v="275.8"/>
    <x v="48"/>
    <d v="2025-02-18T00:00:00"/>
    <s v="M"/>
    <x v="1"/>
    <x v="0"/>
    <x v="0"/>
    <x v="37"/>
    <n v="0"/>
    <x v="7"/>
    <x v="1"/>
  </r>
  <r>
    <s v="TX501225"/>
    <x v="19"/>
    <x v="2"/>
    <n v="38"/>
    <n v="114"/>
    <x v="48"/>
    <d v="2025-02-21T00:00:00"/>
    <s v="M"/>
    <x v="4"/>
    <x v="1"/>
    <x v="0"/>
    <x v="6"/>
    <n v="3"/>
    <x v="7"/>
    <x v="1"/>
  </r>
  <r>
    <s v="TX501226"/>
    <x v="17"/>
    <x v="12"/>
    <n v="42.5"/>
    <n v="170"/>
    <x v="48"/>
    <d v="2025-02-20T00:00:00"/>
    <s v=""/>
    <x v="0"/>
    <x v="0"/>
    <x v="0"/>
    <x v="6"/>
    <n v="2"/>
    <x v="7"/>
    <x v="0"/>
  </r>
  <r>
    <s v="TX501227"/>
    <x v="15"/>
    <x v="0"/>
    <n v="62.3"/>
    <n v="62.3"/>
    <x v="48"/>
    <d v="2025-02-27T00:00:00"/>
    <s v="M"/>
    <x v="0"/>
    <x v="2"/>
    <x v="0"/>
    <x v="6"/>
    <n v="9"/>
    <x v="7"/>
    <x v="1"/>
  </r>
  <r>
    <s v="TX501228"/>
    <x v="6"/>
    <x v="9"/>
    <n v="49.1"/>
    <n v="245.5"/>
    <x v="48"/>
    <d v="2025-02-20T00:00:00"/>
    <s v="F"/>
    <x v="1"/>
    <x v="2"/>
    <x v="0"/>
    <x v="7"/>
    <n v="2"/>
    <x v="7"/>
    <x v="2"/>
  </r>
  <r>
    <s v="TX501229"/>
    <x v="3"/>
    <x v="1"/>
    <n v="30.5"/>
    <n v="61"/>
    <x v="48"/>
    <d v="2025-02-21T00:00:00"/>
    <s v="M"/>
    <x v="0"/>
    <x v="2"/>
    <x v="0"/>
    <x v="8"/>
    <n v="3"/>
    <x v="7"/>
    <x v="1"/>
  </r>
  <r>
    <s v="TX501230"/>
    <x v="2"/>
    <x v="1"/>
    <n v="154.80000000000001"/>
    <n v="309.60000000000002"/>
    <x v="48"/>
    <d v="2025-02-21T00:00:00"/>
    <s v="F"/>
    <x v="1"/>
    <x v="4"/>
    <x v="0"/>
    <x v="8"/>
    <n v="3"/>
    <x v="7"/>
    <x v="2"/>
  </r>
  <r>
    <s v="TX501231"/>
    <x v="6"/>
    <x v="0"/>
    <n v="45"/>
    <n v="45"/>
    <x v="48"/>
    <d v="2025-02-22T00:00:00"/>
    <s v="M"/>
    <x v="3"/>
    <x v="1"/>
    <x v="0"/>
    <x v="8"/>
    <n v="4"/>
    <x v="7"/>
    <x v="1"/>
  </r>
  <r>
    <s v="TX501232"/>
    <x v="0"/>
    <x v="3"/>
    <n v="15.3"/>
    <n v="107.10000000000001"/>
    <x v="48"/>
    <d v="2025-02-19T00:00:00"/>
    <s v="M"/>
    <x v="0"/>
    <x v="2"/>
    <x v="0"/>
    <x v="8"/>
    <n v="1"/>
    <x v="7"/>
    <x v="1"/>
  </r>
  <r>
    <s v="TX501233"/>
    <x v="2"/>
    <x v="5"/>
    <n v="88.6"/>
    <n v="974.59999999999991"/>
    <x v="48"/>
    <d v="2025-02-21T00:00:00"/>
    <s v="F"/>
    <x v="0"/>
    <x v="4"/>
    <x v="0"/>
    <x v="17"/>
    <n v="3"/>
    <x v="7"/>
    <x v="2"/>
  </r>
  <r>
    <s v="TX501234"/>
    <x v="9"/>
    <x v="1"/>
    <n v="49.7"/>
    <n v="99.4"/>
    <x v="48"/>
    <d v="2025-02-20T00:00:00"/>
    <s v="O"/>
    <x v="4"/>
    <x v="0"/>
    <x v="0"/>
    <x v="10"/>
    <n v="2"/>
    <x v="7"/>
    <x v="3"/>
  </r>
  <r>
    <s v="TX501235"/>
    <x v="10"/>
    <x v="0"/>
    <n v="29"/>
    <n v="29"/>
    <x v="48"/>
    <d v="2025-02-19T00:00:00"/>
    <s v="M"/>
    <x v="0"/>
    <x v="0"/>
    <x v="0"/>
    <x v="11"/>
    <n v="1"/>
    <x v="7"/>
    <x v="1"/>
  </r>
  <r>
    <s v="TX501236"/>
    <x v="1"/>
    <x v="0"/>
    <n v="60.7"/>
    <n v="60.7"/>
    <x v="48"/>
    <d v="2025-02-19T00:00:00"/>
    <s v="O"/>
    <x v="0"/>
    <x v="1"/>
    <x v="0"/>
    <x v="11"/>
    <n v="1"/>
    <x v="7"/>
    <x v="3"/>
  </r>
  <r>
    <s v="TX501237"/>
    <x v="17"/>
    <x v="12"/>
    <n v="87.4"/>
    <n v="349.6"/>
    <x v="48"/>
    <d v="2025-02-20T00:00:00"/>
    <s v=""/>
    <x v="0"/>
    <x v="0"/>
    <x v="0"/>
    <x v="11"/>
    <n v="2"/>
    <x v="7"/>
    <x v="0"/>
  </r>
  <r>
    <s v="TX501238"/>
    <x v="4"/>
    <x v="3"/>
    <n v="44.5"/>
    <n v="311.5"/>
    <x v="48"/>
    <d v="2025-02-22T00:00:00"/>
    <s v="F"/>
    <x v="2"/>
    <x v="2"/>
    <x v="0"/>
    <x v="19"/>
    <n v="4"/>
    <x v="7"/>
    <x v="2"/>
  </r>
  <r>
    <s v="TX501239"/>
    <x v="2"/>
    <x v="0"/>
    <n v="141"/>
    <n v="141"/>
    <x v="48"/>
    <d v="2025-02-19T00:00:00"/>
    <s v="M"/>
    <x v="4"/>
    <x v="2"/>
    <x v="0"/>
    <x v="19"/>
    <n v="1"/>
    <x v="7"/>
    <x v="1"/>
  </r>
  <r>
    <s v="TX501240"/>
    <x v="0"/>
    <x v="2"/>
    <n v="16.7"/>
    <n v="50.099999999999994"/>
    <x v="48"/>
    <d v="2025-02-26T00:00:00"/>
    <s v="F"/>
    <x v="0"/>
    <x v="0"/>
    <x v="0"/>
    <x v="20"/>
    <n v="8"/>
    <x v="7"/>
    <x v="2"/>
  </r>
  <r>
    <s v="TX501241"/>
    <x v="1"/>
    <x v="1"/>
    <n v="77.5"/>
    <n v="155"/>
    <x v="48"/>
    <d v="2025-02-19T00:00:00"/>
    <s v=""/>
    <x v="2"/>
    <x v="2"/>
    <x v="0"/>
    <x v="13"/>
    <n v="1"/>
    <x v="7"/>
    <x v="0"/>
  </r>
  <r>
    <s v="TX501242"/>
    <x v="2"/>
    <x v="1"/>
    <n v="163"/>
    <n v="326"/>
    <x v="48"/>
    <d v="2025-02-24T00:00:00"/>
    <s v="F"/>
    <x v="4"/>
    <x v="0"/>
    <x v="0"/>
    <x v="21"/>
    <n v="6"/>
    <x v="7"/>
    <x v="2"/>
  </r>
  <r>
    <s v="TX501243"/>
    <x v="4"/>
    <x v="11"/>
    <n v="21.4"/>
    <n v="192.6"/>
    <x v="48"/>
    <d v="2025-02-21T00:00:00"/>
    <s v="F"/>
    <x v="0"/>
    <x v="0"/>
    <x v="0"/>
    <x v="51"/>
    <n v="3"/>
    <x v="7"/>
    <x v="2"/>
  </r>
  <r>
    <s v="TX501244"/>
    <x v="10"/>
    <x v="5"/>
    <n v="31"/>
    <n v="341"/>
    <x v="48"/>
    <d v="2025-02-20T00:00:00"/>
    <s v="F"/>
    <x v="3"/>
    <x v="2"/>
    <x v="0"/>
    <x v="1"/>
    <n v="2"/>
    <x v="7"/>
    <x v="2"/>
  </r>
  <r>
    <s v="TX501245"/>
    <x v="7"/>
    <x v="1"/>
    <n v="34.299999999999997"/>
    <n v="68.599999999999994"/>
    <x v="48"/>
    <d v="2025-02-20T00:00:00"/>
    <s v="F"/>
    <x v="0"/>
    <x v="3"/>
    <x v="0"/>
    <x v="1"/>
    <n v="2"/>
    <x v="7"/>
    <x v="2"/>
  </r>
  <r>
    <s v="TX501246"/>
    <x v="17"/>
    <x v="9"/>
    <n v="48.2"/>
    <n v="241"/>
    <x v="48"/>
    <d v="2025-02-19T00:00:00"/>
    <s v="M"/>
    <x v="1"/>
    <x v="1"/>
    <x v="0"/>
    <x v="2"/>
    <n v="1"/>
    <x v="7"/>
    <x v="1"/>
  </r>
  <r>
    <s v="TX501247"/>
    <x v="10"/>
    <x v="0"/>
    <n v="51.4"/>
    <n v="51.4"/>
    <x v="48"/>
    <d v="2025-02-19T00:00:00"/>
    <s v="M"/>
    <x v="0"/>
    <x v="0"/>
    <x v="0"/>
    <x v="3"/>
    <n v="1"/>
    <x v="7"/>
    <x v="1"/>
  </r>
  <r>
    <s v="TX501248"/>
    <x v="2"/>
    <x v="9"/>
    <n v="117.2"/>
    <n v="586"/>
    <x v="48"/>
    <d v="2025-02-21T00:00:00"/>
    <s v="F"/>
    <x v="4"/>
    <x v="4"/>
    <x v="0"/>
    <x v="3"/>
    <n v="3"/>
    <x v="7"/>
    <x v="2"/>
  </r>
  <r>
    <s v="TX501249"/>
    <x v="8"/>
    <x v="0"/>
    <n v="38.1"/>
    <n v="38.1"/>
    <x v="48"/>
    <d v="2025-02-18T00:00:00"/>
    <s v="M"/>
    <x v="4"/>
    <x v="1"/>
    <x v="0"/>
    <x v="3"/>
    <n v="0"/>
    <x v="7"/>
    <x v="1"/>
  </r>
  <r>
    <s v="TX501250"/>
    <x v="0"/>
    <x v="1"/>
    <n v="44.1"/>
    <n v="88.2"/>
    <x v="48"/>
    <d v="2025-02-20T00:00:00"/>
    <s v="F"/>
    <x v="2"/>
    <x v="0"/>
    <x v="0"/>
    <x v="3"/>
    <n v="2"/>
    <x v="7"/>
    <x v="2"/>
  </r>
  <r>
    <s v="TX501251"/>
    <x v="15"/>
    <x v="12"/>
    <n v="80.5"/>
    <n v="322"/>
    <x v="48"/>
    <d v="2025-02-23T00:00:00"/>
    <s v="M"/>
    <x v="0"/>
    <x v="0"/>
    <x v="0"/>
    <x v="3"/>
    <n v="5"/>
    <x v="7"/>
    <x v="1"/>
  </r>
  <r>
    <s v="TX501252"/>
    <x v="18"/>
    <x v="12"/>
    <n v="33.6"/>
    <n v="134.4"/>
    <x v="48"/>
    <d v="2025-02-23T00:00:00"/>
    <s v=""/>
    <x v="0"/>
    <x v="2"/>
    <x v="0"/>
    <x v="3"/>
    <n v="5"/>
    <x v="7"/>
    <x v="0"/>
  </r>
  <r>
    <s v="TX501253"/>
    <x v="9"/>
    <x v="11"/>
    <n v="41.8"/>
    <n v="376.2"/>
    <x v="48"/>
    <d v="2025-02-19T00:00:00"/>
    <s v="F"/>
    <x v="0"/>
    <x v="1"/>
    <x v="0"/>
    <x v="3"/>
    <n v="1"/>
    <x v="7"/>
    <x v="2"/>
  </r>
  <r>
    <s v="TX501254"/>
    <x v="1"/>
    <x v="1"/>
    <n v="106.2"/>
    <n v="212.4"/>
    <x v="48"/>
    <d v="2025-02-18T00:00:00"/>
    <s v="F"/>
    <x v="4"/>
    <x v="2"/>
    <x v="0"/>
    <x v="3"/>
    <n v="0"/>
    <x v="7"/>
    <x v="2"/>
  </r>
  <r>
    <s v="TX501255"/>
    <x v="1"/>
    <x v="1"/>
    <n v="52.6"/>
    <n v="105.2"/>
    <x v="48"/>
    <d v="2025-02-19T00:00:00"/>
    <s v="F"/>
    <x v="0"/>
    <x v="2"/>
    <x v="0"/>
    <x v="5"/>
    <n v="1"/>
    <x v="7"/>
    <x v="2"/>
  </r>
  <r>
    <s v="TX501256"/>
    <x v="11"/>
    <x v="3"/>
    <n v="68.5"/>
    <n v="479.5"/>
    <x v="48"/>
    <d v="2025-02-19T00:00:00"/>
    <s v="F"/>
    <x v="1"/>
    <x v="0"/>
    <x v="0"/>
    <x v="5"/>
    <n v="1"/>
    <x v="7"/>
    <x v="2"/>
  </r>
  <r>
    <s v="TX501257"/>
    <x v="1"/>
    <x v="1"/>
    <n v="55.6"/>
    <n v="111.2"/>
    <x v="48"/>
    <d v="2025-02-20T00:00:00"/>
    <s v="M"/>
    <x v="1"/>
    <x v="2"/>
    <x v="0"/>
    <x v="6"/>
    <n v="2"/>
    <x v="7"/>
    <x v="1"/>
  </r>
  <r>
    <s v="TX501258"/>
    <x v="2"/>
    <x v="2"/>
    <n v="134.9"/>
    <n v="404.70000000000005"/>
    <x v="48"/>
    <d v="2025-02-19T00:00:00"/>
    <s v="M"/>
    <x v="1"/>
    <x v="1"/>
    <x v="0"/>
    <x v="6"/>
    <n v="1"/>
    <x v="7"/>
    <x v="1"/>
  </r>
  <r>
    <s v="TX501259"/>
    <x v="10"/>
    <x v="9"/>
    <n v="42.6"/>
    <n v="213"/>
    <x v="48"/>
    <d v="2025-02-19T00:00:00"/>
    <s v="M"/>
    <x v="0"/>
    <x v="0"/>
    <x v="0"/>
    <x v="6"/>
    <n v="1"/>
    <x v="7"/>
    <x v="1"/>
  </r>
  <r>
    <s v="TX501260"/>
    <x v="7"/>
    <x v="9"/>
    <n v="60.6"/>
    <n v="303"/>
    <x v="48"/>
    <d v="2025-02-20T00:00:00"/>
    <s v="M"/>
    <x v="4"/>
    <x v="0"/>
    <x v="0"/>
    <x v="6"/>
    <n v="2"/>
    <x v="7"/>
    <x v="1"/>
  </r>
  <r>
    <s v="TX501261"/>
    <x v="8"/>
    <x v="1"/>
    <n v="43.5"/>
    <n v="87"/>
    <x v="48"/>
    <d v="2025-02-19T00:00:00"/>
    <s v="M"/>
    <x v="4"/>
    <x v="0"/>
    <x v="0"/>
    <x v="7"/>
    <n v="1"/>
    <x v="7"/>
    <x v="1"/>
  </r>
  <r>
    <s v="TX501262"/>
    <x v="2"/>
    <x v="1"/>
    <n v="187.1"/>
    <n v="374.2"/>
    <x v="48"/>
    <d v="2025-02-19T00:00:00"/>
    <s v="M"/>
    <x v="1"/>
    <x v="2"/>
    <x v="0"/>
    <x v="8"/>
    <n v="1"/>
    <x v="7"/>
    <x v="1"/>
  </r>
  <r>
    <s v="TX501263"/>
    <x v="9"/>
    <x v="2"/>
    <n v="32"/>
    <n v="96"/>
    <x v="48"/>
    <d v="2025-02-20T00:00:00"/>
    <s v="M"/>
    <x v="0"/>
    <x v="0"/>
    <x v="0"/>
    <x v="8"/>
    <n v="2"/>
    <x v="7"/>
    <x v="1"/>
  </r>
  <r>
    <s v="TX501264"/>
    <x v="9"/>
    <x v="1"/>
    <n v="110.8"/>
    <n v="221.6"/>
    <x v="48"/>
    <d v="2025-02-18T00:00:00"/>
    <s v="M"/>
    <x v="0"/>
    <x v="2"/>
    <x v="0"/>
    <x v="8"/>
    <n v="0"/>
    <x v="7"/>
    <x v="1"/>
  </r>
  <r>
    <s v="TX501265"/>
    <x v="10"/>
    <x v="15"/>
    <n v="36.1"/>
    <n v="469.3"/>
    <x v="48"/>
    <d v="2025-02-21T00:00:00"/>
    <s v="F"/>
    <x v="0"/>
    <x v="1"/>
    <x v="0"/>
    <x v="8"/>
    <n v="3"/>
    <x v="7"/>
    <x v="2"/>
  </r>
  <r>
    <s v="TX501266"/>
    <x v="0"/>
    <x v="0"/>
    <n v="24.1"/>
    <n v="24.1"/>
    <x v="48"/>
    <d v="2025-02-20T00:00:00"/>
    <s v="F"/>
    <x v="4"/>
    <x v="2"/>
    <x v="0"/>
    <x v="8"/>
    <n v="2"/>
    <x v="7"/>
    <x v="2"/>
  </r>
  <r>
    <s v="TX501267"/>
    <x v="19"/>
    <x v="2"/>
    <n v="30.5"/>
    <n v="91.5"/>
    <x v="48"/>
    <d v="2025-02-20T00:00:00"/>
    <s v="M"/>
    <x v="1"/>
    <x v="0"/>
    <x v="0"/>
    <x v="8"/>
    <n v="2"/>
    <x v="7"/>
    <x v="1"/>
  </r>
  <r>
    <s v="TX501268"/>
    <x v="18"/>
    <x v="13"/>
    <n v="68.3"/>
    <n v="409.79999999999995"/>
    <x v="48"/>
    <d v="2025-02-21T00:00:00"/>
    <s v="M"/>
    <x v="0"/>
    <x v="0"/>
    <x v="0"/>
    <x v="8"/>
    <n v="3"/>
    <x v="7"/>
    <x v="1"/>
  </r>
  <r>
    <s v="TX501269"/>
    <x v="7"/>
    <x v="2"/>
    <n v="43.3"/>
    <n v="129.89999999999998"/>
    <x v="48"/>
    <d v="2025-02-22T00:00:00"/>
    <s v="F"/>
    <x v="0"/>
    <x v="0"/>
    <x v="0"/>
    <x v="17"/>
    <n v="4"/>
    <x v="7"/>
    <x v="2"/>
  </r>
  <r>
    <s v="TX501270"/>
    <x v="3"/>
    <x v="0"/>
    <n v="101.7"/>
    <n v="101.7"/>
    <x v="48"/>
    <d v="2025-02-21T00:00:00"/>
    <s v="F"/>
    <x v="0"/>
    <x v="1"/>
    <x v="0"/>
    <x v="17"/>
    <n v="3"/>
    <x v="7"/>
    <x v="2"/>
  </r>
  <r>
    <s v="TX501271"/>
    <x v="11"/>
    <x v="1"/>
    <n v="54.2"/>
    <n v="108.4"/>
    <x v="48"/>
    <d v="2025-02-19T00:00:00"/>
    <s v="F"/>
    <x v="0"/>
    <x v="1"/>
    <x v="0"/>
    <x v="17"/>
    <n v="1"/>
    <x v="7"/>
    <x v="2"/>
  </r>
  <r>
    <s v="TX501272"/>
    <x v="16"/>
    <x v="1"/>
    <n v="51"/>
    <n v="102"/>
    <x v="48"/>
    <d v="2025-02-18T00:00:00"/>
    <s v="M"/>
    <x v="1"/>
    <x v="0"/>
    <x v="0"/>
    <x v="26"/>
    <n v="0"/>
    <x v="7"/>
    <x v="1"/>
  </r>
  <r>
    <s v="TX501273"/>
    <x v="4"/>
    <x v="1"/>
    <n v="23.1"/>
    <n v="46.2"/>
    <x v="48"/>
    <d v="2025-02-21T00:00:00"/>
    <s v="M"/>
    <x v="1"/>
    <x v="0"/>
    <x v="0"/>
    <x v="10"/>
    <n v="3"/>
    <x v="7"/>
    <x v="1"/>
  </r>
  <r>
    <s v="TX501274"/>
    <x v="12"/>
    <x v="13"/>
    <n v="60.1"/>
    <n v="360.6"/>
    <x v="48"/>
    <d v="2025-02-18T00:00:00"/>
    <s v="F"/>
    <x v="3"/>
    <x v="0"/>
    <x v="0"/>
    <x v="11"/>
    <n v="0"/>
    <x v="7"/>
    <x v="2"/>
  </r>
  <r>
    <s v="TX501275"/>
    <x v="2"/>
    <x v="3"/>
    <n v="87.5"/>
    <n v="612.5"/>
    <x v="48"/>
    <d v="2025-02-20T00:00:00"/>
    <s v="F"/>
    <x v="0"/>
    <x v="1"/>
    <x v="0"/>
    <x v="11"/>
    <n v="2"/>
    <x v="7"/>
    <x v="2"/>
  </r>
  <r>
    <s v="TX501276"/>
    <x v="1"/>
    <x v="2"/>
    <n v="51"/>
    <n v="153"/>
    <x v="48"/>
    <d v="2025-02-19T00:00:00"/>
    <s v="F"/>
    <x v="1"/>
    <x v="0"/>
    <x v="0"/>
    <x v="11"/>
    <n v="1"/>
    <x v="7"/>
    <x v="2"/>
  </r>
  <r>
    <s v="TX501277"/>
    <x v="8"/>
    <x v="12"/>
    <n v="19.2"/>
    <n v="76.8"/>
    <x v="48"/>
    <d v="2025-02-20T00:00:00"/>
    <s v="F"/>
    <x v="0"/>
    <x v="0"/>
    <x v="0"/>
    <x v="11"/>
    <n v="2"/>
    <x v="7"/>
    <x v="2"/>
  </r>
  <r>
    <s v="TX501278"/>
    <x v="5"/>
    <x v="8"/>
    <n v="26.5"/>
    <n v="212"/>
    <x v="48"/>
    <d v="2025-02-19T00:00:00"/>
    <s v=""/>
    <x v="3"/>
    <x v="2"/>
    <x v="0"/>
    <x v="11"/>
    <n v="1"/>
    <x v="7"/>
    <x v="0"/>
  </r>
  <r>
    <s v="TX501279"/>
    <x v="2"/>
    <x v="1"/>
    <n v="220.3"/>
    <n v="440.6"/>
    <x v="48"/>
    <d v="2025-02-19T00:00:00"/>
    <s v="F"/>
    <x v="1"/>
    <x v="4"/>
    <x v="0"/>
    <x v="53"/>
    <n v="1"/>
    <x v="7"/>
    <x v="2"/>
  </r>
  <r>
    <s v="TX501280"/>
    <x v="8"/>
    <x v="2"/>
    <n v="45.7"/>
    <n v="137.10000000000002"/>
    <x v="48"/>
    <d v="2025-02-19T00:00:00"/>
    <s v="F"/>
    <x v="4"/>
    <x v="0"/>
    <x v="0"/>
    <x v="30"/>
    <n v="1"/>
    <x v="7"/>
    <x v="2"/>
  </r>
  <r>
    <s v="TX501281"/>
    <x v="5"/>
    <x v="9"/>
    <n v="47.1"/>
    <n v="235.5"/>
    <x v="48"/>
    <d v="2025-02-22T00:00:00"/>
    <s v="F"/>
    <x v="3"/>
    <x v="0"/>
    <x v="0"/>
    <x v="13"/>
    <n v="4"/>
    <x v="7"/>
    <x v="2"/>
  </r>
  <r>
    <s v="TX501282"/>
    <x v="1"/>
    <x v="9"/>
    <n v="81.7"/>
    <n v="408.5"/>
    <x v="48"/>
    <d v="2025-02-19T00:00:00"/>
    <s v="F"/>
    <x v="0"/>
    <x v="2"/>
    <x v="0"/>
    <x v="21"/>
    <n v="1"/>
    <x v="7"/>
    <x v="2"/>
  </r>
  <r>
    <s v="TX501283"/>
    <x v="6"/>
    <x v="7"/>
    <n v="97.8"/>
    <n v="978"/>
    <x v="48"/>
    <d v="2025-02-18T00:00:00"/>
    <s v="M"/>
    <x v="1"/>
    <x v="1"/>
    <x v="0"/>
    <x v="21"/>
    <n v="0"/>
    <x v="7"/>
    <x v="1"/>
  </r>
  <r>
    <s v="TX501284"/>
    <x v="6"/>
    <x v="2"/>
    <n v="42.4"/>
    <n v="127.19999999999999"/>
    <x v="48"/>
    <d v="2025-02-19T00:00:00"/>
    <s v="F"/>
    <x v="0"/>
    <x v="2"/>
    <x v="0"/>
    <x v="54"/>
    <n v="1"/>
    <x v="7"/>
    <x v="2"/>
  </r>
  <r>
    <s v="TX501285"/>
    <x v="2"/>
    <x v="7"/>
    <n v="74.5"/>
    <n v="745"/>
    <x v="48"/>
    <d v="2025-02-19T00:00:00"/>
    <s v="M"/>
    <x v="2"/>
    <x v="1"/>
    <x v="0"/>
    <x v="1"/>
    <n v="1"/>
    <x v="7"/>
    <x v="1"/>
  </r>
  <r>
    <s v="TX501286"/>
    <x v="17"/>
    <x v="13"/>
    <n v="47.4"/>
    <n v="284.39999999999998"/>
    <x v="48"/>
    <d v="2025-02-19T00:00:00"/>
    <s v="M"/>
    <x v="1"/>
    <x v="0"/>
    <x v="0"/>
    <x v="1"/>
    <n v="1"/>
    <x v="7"/>
    <x v="1"/>
  </r>
  <r>
    <s v="TX501287"/>
    <x v="14"/>
    <x v="2"/>
    <n v="17.3"/>
    <n v="51.900000000000006"/>
    <x v="49"/>
    <d v="2025-02-22T00:00:00"/>
    <s v="M"/>
    <x v="2"/>
    <x v="2"/>
    <x v="0"/>
    <x v="1"/>
    <n v="3"/>
    <x v="7"/>
    <x v="1"/>
  </r>
  <r>
    <s v="TX501288"/>
    <x v="12"/>
    <x v="12"/>
    <n v="77.900000000000006"/>
    <n v="311.60000000000002"/>
    <x v="49"/>
    <d v="2025-02-20T00:00:00"/>
    <s v="M"/>
    <x v="1"/>
    <x v="0"/>
    <x v="0"/>
    <x v="2"/>
    <n v="1"/>
    <x v="7"/>
    <x v="1"/>
  </r>
  <r>
    <s v="TX501289"/>
    <x v="8"/>
    <x v="0"/>
    <n v="29.1"/>
    <n v="29.1"/>
    <x v="49"/>
    <d v="2025-02-22T00:00:00"/>
    <s v="M"/>
    <x v="0"/>
    <x v="2"/>
    <x v="0"/>
    <x v="50"/>
    <n v="3"/>
    <x v="7"/>
    <x v="1"/>
  </r>
  <r>
    <s v="TX501290"/>
    <x v="8"/>
    <x v="0"/>
    <n v="49"/>
    <n v="49"/>
    <x v="49"/>
    <d v="2025-02-20T00:00:00"/>
    <s v="M"/>
    <x v="1"/>
    <x v="0"/>
    <x v="0"/>
    <x v="3"/>
    <n v="1"/>
    <x v="7"/>
    <x v="1"/>
  </r>
  <r>
    <s v="TX501291"/>
    <x v="8"/>
    <x v="13"/>
    <n v="21.1"/>
    <n v="126.60000000000001"/>
    <x v="49"/>
    <d v="2025-02-26T00:00:00"/>
    <s v="M"/>
    <x v="0"/>
    <x v="2"/>
    <x v="0"/>
    <x v="3"/>
    <n v="7"/>
    <x v="7"/>
    <x v="1"/>
  </r>
  <r>
    <s v="TX501292"/>
    <x v="4"/>
    <x v="10"/>
    <n v="36.9"/>
    <n v="701.1"/>
    <x v="49"/>
    <d v="2025-02-19T00:00:00"/>
    <s v="F"/>
    <x v="0"/>
    <x v="0"/>
    <x v="0"/>
    <x v="3"/>
    <n v="0"/>
    <x v="7"/>
    <x v="2"/>
  </r>
  <r>
    <s v="TX501293"/>
    <x v="1"/>
    <x v="7"/>
    <n v="92.6"/>
    <n v="926"/>
    <x v="49"/>
    <d v="2025-02-24T00:00:00"/>
    <s v="M"/>
    <x v="4"/>
    <x v="2"/>
    <x v="0"/>
    <x v="3"/>
    <n v="5"/>
    <x v="7"/>
    <x v="1"/>
  </r>
  <r>
    <s v="TX501294"/>
    <x v="10"/>
    <x v="1"/>
    <n v="38"/>
    <n v="76"/>
    <x v="49"/>
    <d v="2025-02-20T00:00:00"/>
    <s v="M"/>
    <x v="1"/>
    <x v="1"/>
    <x v="0"/>
    <x v="3"/>
    <n v="1"/>
    <x v="7"/>
    <x v="1"/>
  </r>
  <r>
    <s v="TX501295"/>
    <x v="5"/>
    <x v="2"/>
    <n v="54.8"/>
    <n v="164.39999999999998"/>
    <x v="49"/>
    <d v="2025-02-23T00:00:00"/>
    <s v=""/>
    <x v="0"/>
    <x v="1"/>
    <x v="0"/>
    <x v="3"/>
    <n v="4"/>
    <x v="7"/>
    <x v="0"/>
  </r>
  <r>
    <s v="TX501296"/>
    <x v="10"/>
    <x v="4"/>
    <n v="56.8"/>
    <n v="681.59999999999991"/>
    <x v="49"/>
    <d v="2025-02-21T00:00:00"/>
    <s v="M"/>
    <x v="1"/>
    <x v="0"/>
    <x v="0"/>
    <x v="3"/>
    <n v="2"/>
    <x v="7"/>
    <x v="1"/>
  </r>
  <r>
    <s v="TX501297"/>
    <x v="11"/>
    <x v="40"/>
    <n v="47.2"/>
    <n v="1557.6000000000001"/>
    <x v="49"/>
    <d v="2025-02-22T00:00:00"/>
    <s v="F"/>
    <x v="1"/>
    <x v="0"/>
    <x v="0"/>
    <x v="3"/>
    <n v="3"/>
    <x v="7"/>
    <x v="2"/>
  </r>
  <r>
    <s v="TX501298"/>
    <x v="7"/>
    <x v="13"/>
    <n v="45.1"/>
    <n v="270.60000000000002"/>
    <x v="49"/>
    <d v="2025-02-20T00:00:00"/>
    <s v="F"/>
    <x v="2"/>
    <x v="0"/>
    <x v="0"/>
    <x v="43"/>
    <n v="1"/>
    <x v="7"/>
    <x v="2"/>
  </r>
  <r>
    <s v="TX501299"/>
    <x v="4"/>
    <x v="4"/>
    <n v="25.2"/>
    <n v="302.39999999999998"/>
    <x v="49"/>
    <d v="2025-02-24T00:00:00"/>
    <s v="F"/>
    <x v="2"/>
    <x v="0"/>
    <x v="0"/>
    <x v="16"/>
    <n v="5"/>
    <x v="7"/>
    <x v="2"/>
  </r>
  <r>
    <s v="TX501300"/>
    <x v="8"/>
    <x v="0"/>
    <n v="22"/>
    <n v="22"/>
    <x v="49"/>
    <d v="2025-02-20T00:00:00"/>
    <s v="F"/>
    <x v="0"/>
    <x v="0"/>
    <x v="0"/>
    <x v="5"/>
    <n v="1"/>
    <x v="7"/>
    <x v="2"/>
  </r>
  <r>
    <s v="TX501301"/>
    <x v="6"/>
    <x v="1"/>
    <n v="42.2"/>
    <n v="84.4"/>
    <x v="49"/>
    <d v="2025-02-20T00:00:00"/>
    <s v="F"/>
    <x v="1"/>
    <x v="1"/>
    <x v="0"/>
    <x v="23"/>
    <n v="1"/>
    <x v="7"/>
    <x v="2"/>
  </r>
  <r>
    <s v="TX501302"/>
    <x v="13"/>
    <x v="2"/>
    <n v="20.5"/>
    <n v="61.5"/>
    <x v="49"/>
    <d v="2025-02-20T00:00:00"/>
    <s v="M"/>
    <x v="0"/>
    <x v="1"/>
    <x v="0"/>
    <x v="6"/>
    <n v="1"/>
    <x v="7"/>
    <x v="1"/>
  </r>
  <r>
    <s v="TX501303"/>
    <x v="2"/>
    <x v="0"/>
    <n v="190.4"/>
    <n v="190.4"/>
    <x v="49"/>
    <d v="2025-02-24T00:00:00"/>
    <s v="M"/>
    <x v="1"/>
    <x v="4"/>
    <x v="0"/>
    <x v="6"/>
    <n v="5"/>
    <x v="7"/>
    <x v="1"/>
  </r>
  <r>
    <s v="TX501304"/>
    <x v="2"/>
    <x v="0"/>
    <n v="121.9"/>
    <n v="121.9"/>
    <x v="49"/>
    <d v="2025-02-21T00:00:00"/>
    <s v="F"/>
    <x v="1"/>
    <x v="2"/>
    <x v="0"/>
    <x v="6"/>
    <n v="2"/>
    <x v="7"/>
    <x v="2"/>
  </r>
  <r>
    <s v="TX501305"/>
    <x v="2"/>
    <x v="13"/>
    <n v="149.19999999999999"/>
    <n v="895.19999999999993"/>
    <x v="49"/>
    <d v="2025-02-20T00:00:00"/>
    <s v="F"/>
    <x v="2"/>
    <x v="2"/>
    <x v="0"/>
    <x v="7"/>
    <n v="1"/>
    <x v="7"/>
    <x v="2"/>
  </r>
  <r>
    <s v="TX501306"/>
    <x v="2"/>
    <x v="0"/>
    <n v="54.1"/>
    <n v="54.1"/>
    <x v="49"/>
    <d v="2025-02-28T00:00:00"/>
    <s v="F"/>
    <x v="2"/>
    <x v="2"/>
    <x v="0"/>
    <x v="7"/>
    <n v="9"/>
    <x v="7"/>
    <x v="2"/>
  </r>
  <r>
    <s v="TX501307"/>
    <x v="5"/>
    <x v="1"/>
    <n v="27.4"/>
    <n v="54.8"/>
    <x v="49"/>
    <d v="2025-02-21T00:00:00"/>
    <s v="M"/>
    <x v="1"/>
    <x v="0"/>
    <x v="0"/>
    <x v="8"/>
    <n v="2"/>
    <x v="7"/>
    <x v="1"/>
  </r>
  <r>
    <s v="TX501308"/>
    <x v="0"/>
    <x v="15"/>
    <n v="30.4"/>
    <n v="395.2"/>
    <x v="49"/>
    <d v="2025-02-20T00:00:00"/>
    <s v="F"/>
    <x v="0"/>
    <x v="2"/>
    <x v="0"/>
    <x v="8"/>
    <n v="1"/>
    <x v="7"/>
    <x v="2"/>
  </r>
  <r>
    <s v="TX501309"/>
    <x v="12"/>
    <x v="2"/>
    <n v="46.2"/>
    <n v="138.60000000000002"/>
    <x v="49"/>
    <d v="2025-02-21T00:00:00"/>
    <s v="M"/>
    <x v="2"/>
    <x v="1"/>
    <x v="0"/>
    <x v="17"/>
    <n v="2"/>
    <x v="7"/>
    <x v="1"/>
  </r>
  <r>
    <s v="TX501310"/>
    <x v="7"/>
    <x v="8"/>
    <n v="78.599999999999994"/>
    <n v="628.79999999999995"/>
    <x v="49"/>
    <d v="2025-02-23T00:00:00"/>
    <s v="M"/>
    <x v="3"/>
    <x v="0"/>
    <x v="0"/>
    <x v="17"/>
    <n v="4"/>
    <x v="7"/>
    <x v="1"/>
  </r>
  <r>
    <s v="TX501311"/>
    <x v="17"/>
    <x v="7"/>
    <n v="25.9"/>
    <n v="259"/>
    <x v="49"/>
    <d v="2025-02-25T00:00:00"/>
    <s v="M"/>
    <x v="4"/>
    <x v="0"/>
    <x v="0"/>
    <x v="9"/>
    <n v="6"/>
    <x v="7"/>
    <x v="1"/>
  </r>
  <r>
    <s v="TX501312"/>
    <x v="6"/>
    <x v="0"/>
    <n v="134.80000000000001"/>
    <n v="134.80000000000001"/>
    <x v="49"/>
    <d v="2025-02-21T00:00:00"/>
    <s v="M"/>
    <x v="2"/>
    <x v="2"/>
    <x v="0"/>
    <x v="9"/>
    <n v="2"/>
    <x v="7"/>
    <x v="1"/>
  </r>
  <r>
    <s v="TX501313"/>
    <x v="15"/>
    <x v="9"/>
    <n v="43.1"/>
    <n v="215.5"/>
    <x v="49"/>
    <d v="2025-02-21T00:00:00"/>
    <s v="F"/>
    <x v="0"/>
    <x v="0"/>
    <x v="0"/>
    <x v="11"/>
    <n v="2"/>
    <x v="7"/>
    <x v="2"/>
  </r>
  <r>
    <s v="TX501314"/>
    <x v="2"/>
    <x v="1"/>
    <n v="215.6"/>
    <n v="431.2"/>
    <x v="49"/>
    <d v="2025-02-20T00:00:00"/>
    <s v="F"/>
    <x v="2"/>
    <x v="0"/>
    <x v="0"/>
    <x v="18"/>
    <n v="1"/>
    <x v="7"/>
    <x v="2"/>
  </r>
  <r>
    <s v="TX501315"/>
    <x v="6"/>
    <x v="1"/>
    <n v="80.7"/>
    <n v="161.4"/>
    <x v="49"/>
    <d v="2025-02-22T00:00:00"/>
    <s v="F"/>
    <x v="3"/>
    <x v="0"/>
    <x v="0"/>
    <x v="18"/>
    <n v="3"/>
    <x v="7"/>
    <x v="2"/>
  </r>
  <r>
    <s v="TX501316"/>
    <x v="10"/>
    <x v="3"/>
    <n v="20.6"/>
    <n v="144.20000000000002"/>
    <x v="49"/>
    <d v="2025-02-24T00:00:00"/>
    <s v=""/>
    <x v="2"/>
    <x v="1"/>
    <x v="0"/>
    <x v="19"/>
    <n v="5"/>
    <x v="7"/>
    <x v="0"/>
  </r>
  <r>
    <s v="TX501317"/>
    <x v="12"/>
    <x v="2"/>
    <n v="37.1"/>
    <n v="111.30000000000001"/>
    <x v="49"/>
    <d v="2025-02-20T00:00:00"/>
    <s v="F"/>
    <x v="0"/>
    <x v="0"/>
    <x v="0"/>
    <x v="52"/>
    <n v="1"/>
    <x v="7"/>
    <x v="2"/>
  </r>
  <r>
    <s v="TX501318"/>
    <x v="12"/>
    <x v="0"/>
    <n v="104.8"/>
    <n v="104.8"/>
    <x v="50"/>
    <d v="2025-02-22T00:00:00"/>
    <s v="F"/>
    <x v="0"/>
    <x v="0"/>
    <x v="0"/>
    <x v="13"/>
    <n v="2"/>
    <x v="7"/>
    <x v="2"/>
  </r>
  <r>
    <s v="TX501319"/>
    <x v="8"/>
    <x v="1"/>
    <n v="59"/>
    <n v="118"/>
    <x v="50"/>
    <d v="2025-02-21T00:00:00"/>
    <s v="M"/>
    <x v="1"/>
    <x v="0"/>
    <x v="0"/>
    <x v="21"/>
    <n v="1"/>
    <x v="7"/>
    <x v="1"/>
  </r>
  <r>
    <s v="TX501320"/>
    <x v="8"/>
    <x v="1"/>
    <n v="32.299999999999997"/>
    <n v="64.599999999999994"/>
    <x v="50"/>
    <d v="2025-02-21T00:00:00"/>
    <s v="M"/>
    <x v="0"/>
    <x v="2"/>
    <x v="0"/>
    <x v="21"/>
    <n v="1"/>
    <x v="7"/>
    <x v="1"/>
  </r>
  <r>
    <s v="TX501321"/>
    <x v="8"/>
    <x v="12"/>
    <n v="28.9"/>
    <n v="115.6"/>
    <x v="50"/>
    <d v="2025-02-27T00:00:00"/>
    <s v="M"/>
    <x v="0"/>
    <x v="0"/>
    <x v="0"/>
    <x v="1"/>
    <n v="7"/>
    <x v="7"/>
    <x v="1"/>
  </r>
  <r>
    <s v="TX501322"/>
    <x v="0"/>
    <x v="1"/>
    <n v="29.6"/>
    <n v="59.2"/>
    <x v="50"/>
    <d v="2025-02-22T00:00:00"/>
    <s v="M"/>
    <x v="0"/>
    <x v="0"/>
    <x v="0"/>
    <x v="1"/>
    <n v="2"/>
    <x v="7"/>
    <x v="1"/>
  </r>
  <r>
    <s v="TX501323"/>
    <x v="0"/>
    <x v="9"/>
    <n v="29.4"/>
    <n v="147"/>
    <x v="50"/>
    <d v="2025-02-23T00:00:00"/>
    <s v="F"/>
    <x v="0"/>
    <x v="0"/>
    <x v="0"/>
    <x v="1"/>
    <n v="3"/>
    <x v="7"/>
    <x v="2"/>
  </r>
  <r>
    <s v="TX501324"/>
    <x v="1"/>
    <x v="1"/>
    <n v="40.6"/>
    <n v="81.2"/>
    <x v="50"/>
    <d v="2025-02-21T00:00:00"/>
    <s v="M"/>
    <x v="0"/>
    <x v="4"/>
    <x v="0"/>
    <x v="2"/>
    <n v="1"/>
    <x v="7"/>
    <x v="1"/>
  </r>
  <r>
    <s v="TX501325"/>
    <x v="0"/>
    <x v="2"/>
    <n v="32.5"/>
    <n v="97.5"/>
    <x v="50"/>
    <d v="2025-02-21T00:00:00"/>
    <s v="M"/>
    <x v="3"/>
    <x v="2"/>
    <x v="0"/>
    <x v="22"/>
    <n v="1"/>
    <x v="7"/>
    <x v="1"/>
  </r>
  <r>
    <s v="TX501326"/>
    <x v="15"/>
    <x v="0"/>
    <n v="26.2"/>
    <n v="26.2"/>
    <x v="50"/>
    <d v="2025-02-22T00:00:00"/>
    <s v="M"/>
    <x v="2"/>
    <x v="0"/>
    <x v="0"/>
    <x v="55"/>
    <n v="2"/>
    <x v="7"/>
    <x v="1"/>
  </r>
  <r>
    <s v="TX501327"/>
    <x v="10"/>
    <x v="17"/>
    <n v="44"/>
    <n v="1320"/>
    <x v="50"/>
    <d v="2025-02-26T00:00:00"/>
    <s v="M"/>
    <x v="4"/>
    <x v="0"/>
    <x v="0"/>
    <x v="3"/>
    <n v="6"/>
    <x v="7"/>
    <x v="1"/>
  </r>
  <r>
    <s v="TX501328"/>
    <x v="7"/>
    <x v="12"/>
    <n v="65.599999999999994"/>
    <n v="262.39999999999998"/>
    <x v="50"/>
    <d v="2025-02-21T00:00:00"/>
    <s v="F"/>
    <x v="1"/>
    <x v="1"/>
    <x v="0"/>
    <x v="3"/>
    <n v="1"/>
    <x v="7"/>
    <x v="2"/>
  </r>
  <r>
    <s v="TX501329"/>
    <x v="5"/>
    <x v="4"/>
    <n v="32.6"/>
    <n v="391.20000000000005"/>
    <x v="50"/>
    <d v="2025-02-21T00:00:00"/>
    <s v="M"/>
    <x v="4"/>
    <x v="0"/>
    <x v="0"/>
    <x v="3"/>
    <n v="1"/>
    <x v="7"/>
    <x v="1"/>
  </r>
  <r>
    <s v="TX501330"/>
    <x v="16"/>
    <x v="1"/>
    <n v="88.7"/>
    <n v="177.4"/>
    <x v="50"/>
    <d v="2025-02-21T00:00:00"/>
    <s v=""/>
    <x v="3"/>
    <x v="2"/>
    <x v="0"/>
    <x v="3"/>
    <n v="1"/>
    <x v="7"/>
    <x v="0"/>
  </r>
  <r>
    <s v="TX501331"/>
    <x v="4"/>
    <x v="1"/>
    <n v="21.3"/>
    <n v="42.6"/>
    <x v="50"/>
    <d v="2025-02-21T00:00:00"/>
    <s v="M"/>
    <x v="0"/>
    <x v="0"/>
    <x v="0"/>
    <x v="3"/>
    <n v="1"/>
    <x v="7"/>
    <x v="1"/>
  </r>
  <r>
    <s v="TX501332"/>
    <x v="4"/>
    <x v="13"/>
    <n v="50.6"/>
    <n v="303.60000000000002"/>
    <x v="50"/>
    <d v="2025-02-24T00:00:00"/>
    <s v="F"/>
    <x v="2"/>
    <x v="0"/>
    <x v="0"/>
    <x v="3"/>
    <n v="4"/>
    <x v="7"/>
    <x v="2"/>
  </r>
  <r>
    <s v="TX501333"/>
    <x v="9"/>
    <x v="38"/>
    <n v="86.9"/>
    <n v="1824.9"/>
    <x v="50"/>
    <d v="2025-02-23T00:00:00"/>
    <s v="F"/>
    <x v="0"/>
    <x v="1"/>
    <x v="0"/>
    <x v="3"/>
    <n v="3"/>
    <x v="7"/>
    <x v="2"/>
  </r>
  <r>
    <s v="TX501334"/>
    <x v="11"/>
    <x v="2"/>
    <n v="31.8"/>
    <n v="95.4"/>
    <x v="50"/>
    <d v="2025-02-22T00:00:00"/>
    <s v="M"/>
    <x v="0"/>
    <x v="2"/>
    <x v="0"/>
    <x v="3"/>
    <n v="2"/>
    <x v="7"/>
    <x v="1"/>
  </r>
  <r>
    <s v="TX501335"/>
    <x v="8"/>
    <x v="0"/>
    <n v="19"/>
    <n v="19"/>
    <x v="50"/>
    <d v="2025-02-21T00:00:00"/>
    <s v="F"/>
    <x v="0"/>
    <x v="2"/>
    <x v="0"/>
    <x v="3"/>
    <n v="1"/>
    <x v="7"/>
    <x v="2"/>
  </r>
  <r>
    <s v="TX501336"/>
    <x v="5"/>
    <x v="0"/>
    <n v="54.5"/>
    <n v="54.5"/>
    <x v="50"/>
    <d v="2025-02-22T00:00:00"/>
    <s v="M"/>
    <x v="0"/>
    <x v="0"/>
    <x v="0"/>
    <x v="3"/>
    <n v="2"/>
    <x v="7"/>
    <x v="1"/>
  </r>
  <r>
    <s v="TX501337"/>
    <x v="9"/>
    <x v="9"/>
    <n v="68.900000000000006"/>
    <n v="344.5"/>
    <x v="50"/>
    <d v="2025-02-22T00:00:00"/>
    <s v="M"/>
    <x v="4"/>
    <x v="1"/>
    <x v="0"/>
    <x v="3"/>
    <n v="2"/>
    <x v="7"/>
    <x v="1"/>
  </r>
  <r>
    <s v="TX501338"/>
    <x v="6"/>
    <x v="2"/>
    <n v="84"/>
    <n v="252"/>
    <x v="50"/>
    <d v="2025-02-21T00:00:00"/>
    <s v="M"/>
    <x v="1"/>
    <x v="4"/>
    <x v="0"/>
    <x v="16"/>
    <n v="1"/>
    <x v="7"/>
    <x v="1"/>
  </r>
  <r>
    <s v="TX501339"/>
    <x v="15"/>
    <x v="8"/>
    <n v="23.1"/>
    <n v="184.8"/>
    <x v="50"/>
    <d v="2025-02-25T00:00:00"/>
    <s v="M"/>
    <x v="0"/>
    <x v="2"/>
    <x v="0"/>
    <x v="23"/>
    <n v="5"/>
    <x v="7"/>
    <x v="1"/>
  </r>
  <r>
    <s v="TX501340"/>
    <x v="7"/>
    <x v="1"/>
    <n v="62.4"/>
    <n v="124.8"/>
    <x v="50"/>
    <d v="2025-02-21T00:00:00"/>
    <s v="F"/>
    <x v="0"/>
    <x v="1"/>
    <x v="0"/>
    <x v="6"/>
    <n v="1"/>
    <x v="7"/>
    <x v="2"/>
  </r>
  <r>
    <s v="TX501341"/>
    <x v="6"/>
    <x v="4"/>
    <n v="40.700000000000003"/>
    <n v="488.40000000000003"/>
    <x v="50"/>
    <d v="2025-02-22T00:00:00"/>
    <s v="M"/>
    <x v="1"/>
    <x v="2"/>
    <x v="0"/>
    <x v="6"/>
    <n v="2"/>
    <x v="7"/>
    <x v="1"/>
  </r>
  <r>
    <s v="TX501342"/>
    <x v="6"/>
    <x v="0"/>
    <n v="49.6"/>
    <n v="49.6"/>
    <x v="50"/>
    <d v="2025-02-23T00:00:00"/>
    <s v="M"/>
    <x v="2"/>
    <x v="0"/>
    <x v="0"/>
    <x v="7"/>
    <n v="3"/>
    <x v="7"/>
    <x v="1"/>
  </r>
  <r>
    <s v="TX501343"/>
    <x v="7"/>
    <x v="41"/>
    <n v="66.599999999999994"/>
    <n v="2996.9999999999995"/>
    <x v="50"/>
    <d v="2025-02-23T00:00:00"/>
    <s v="M"/>
    <x v="2"/>
    <x v="0"/>
    <x v="0"/>
    <x v="8"/>
    <n v="3"/>
    <x v="7"/>
    <x v="1"/>
  </r>
  <r>
    <s v="TX501344"/>
    <x v="8"/>
    <x v="2"/>
    <n v="26.4"/>
    <n v="79.199999999999989"/>
    <x v="50"/>
    <d v="2025-02-21T00:00:00"/>
    <s v="F"/>
    <x v="1"/>
    <x v="1"/>
    <x v="0"/>
    <x v="8"/>
    <n v="1"/>
    <x v="7"/>
    <x v="2"/>
  </r>
  <r>
    <s v="TX501345"/>
    <x v="0"/>
    <x v="1"/>
    <n v="17.2"/>
    <n v="34.4"/>
    <x v="50"/>
    <d v="2025-02-23T00:00:00"/>
    <s v="M"/>
    <x v="2"/>
    <x v="1"/>
    <x v="0"/>
    <x v="8"/>
    <n v="3"/>
    <x v="7"/>
    <x v="1"/>
  </r>
  <r>
    <s v="TX501346"/>
    <x v="5"/>
    <x v="8"/>
    <n v="58.1"/>
    <n v="464.8"/>
    <x v="50"/>
    <d v="2025-02-23T00:00:00"/>
    <s v="F"/>
    <x v="4"/>
    <x v="0"/>
    <x v="0"/>
    <x v="8"/>
    <n v="3"/>
    <x v="7"/>
    <x v="2"/>
  </r>
  <r>
    <s v="TX501347"/>
    <x v="15"/>
    <x v="12"/>
    <n v="31.5"/>
    <n v="126"/>
    <x v="50"/>
    <d v="2025-02-23T00:00:00"/>
    <s v="F"/>
    <x v="4"/>
    <x v="4"/>
    <x v="0"/>
    <x v="8"/>
    <n v="3"/>
    <x v="7"/>
    <x v="2"/>
  </r>
  <r>
    <s v="TX501348"/>
    <x v="0"/>
    <x v="0"/>
    <n v="27.1"/>
    <n v="27.1"/>
    <x v="50"/>
    <d v="2025-02-22T00:00:00"/>
    <s v="F"/>
    <x v="0"/>
    <x v="1"/>
    <x v="0"/>
    <x v="17"/>
    <n v="2"/>
    <x v="7"/>
    <x v="2"/>
  </r>
  <r>
    <s v="TX501349"/>
    <x v="18"/>
    <x v="12"/>
    <n v="28.5"/>
    <n v="114"/>
    <x v="50"/>
    <d v="2025-02-22T00:00:00"/>
    <s v="M"/>
    <x v="1"/>
    <x v="2"/>
    <x v="0"/>
    <x v="9"/>
    <n v="2"/>
    <x v="7"/>
    <x v="1"/>
  </r>
  <r>
    <s v="TX501350"/>
    <x v="10"/>
    <x v="0"/>
    <n v="40.5"/>
    <n v="40.5"/>
    <x v="51"/>
    <d v="2025-02-23T00:00:00"/>
    <s v="O"/>
    <x v="2"/>
    <x v="0"/>
    <x v="0"/>
    <x v="9"/>
    <n v="2"/>
    <x v="7"/>
    <x v="3"/>
  </r>
  <r>
    <s v="TX501351"/>
    <x v="2"/>
    <x v="2"/>
    <n v="77.900000000000006"/>
    <n v="233.70000000000002"/>
    <x v="51"/>
    <d v="2025-02-25T00:00:00"/>
    <s v="F"/>
    <x v="1"/>
    <x v="2"/>
    <x v="0"/>
    <x v="19"/>
    <n v="4"/>
    <x v="7"/>
    <x v="2"/>
  </r>
  <r>
    <s v="TX501352"/>
    <x v="18"/>
    <x v="12"/>
    <n v="37.1"/>
    <n v="148.4"/>
    <x v="51"/>
    <d v="2025-02-23T00:00:00"/>
    <s v="M"/>
    <x v="4"/>
    <x v="2"/>
    <x v="0"/>
    <x v="19"/>
    <n v="2"/>
    <x v="7"/>
    <x v="1"/>
  </r>
  <r>
    <s v="TX501353"/>
    <x v="16"/>
    <x v="2"/>
    <n v="51.6"/>
    <n v="154.80000000000001"/>
    <x v="51"/>
    <d v="2025-03-01T00:00:00"/>
    <s v="F"/>
    <x v="0"/>
    <x v="4"/>
    <x v="0"/>
    <x v="19"/>
    <n v="8"/>
    <x v="7"/>
    <x v="2"/>
  </r>
  <r>
    <s v="TX501354"/>
    <x v="7"/>
    <x v="2"/>
    <n v="98"/>
    <n v="294"/>
    <x v="51"/>
    <d v="2025-02-22T00:00:00"/>
    <s v="M"/>
    <x v="1"/>
    <x v="1"/>
    <x v="0"/>
    <x v="19"/>
    <n v="1"/>
    <x v="7"/>
    <x v="1"/>
  </r>
  <r>
    <s v="TX501355"/>
    <x v="6"/>
    <x v="3"/>
    <n v="41.4"/>
    <n v="289.8"/>
    <x v="51"/>
    <d v="2025-02-22T00:00:00"/>
    <s v="M"/>
    <x v="1"/>
    <x v="0"/>
    <x v="0"/>
    <x v="20"/>
    <n v="1"/>
    <x v="7"/>
    <x v="1"/>
  </r>
  <r>
    <s v="TX501356"/>
    <x v="11"/>
    <x v="8"/>
    <n v="34"/>
    <n v="272"/>
    <x v="51"/>
    <d v="2025-02-26T00:00:00"/>
    <s v="F"/>
    <x v="0"/>
    <x v="2"/>
    <x v="0"/>
    <x v="52"/>
    <n v="5"/>
    <x v="7"/>
    <x v="2"/>
  </r>
  <r>
    <s v="TX501357"/>
    <x v="6"/>
    <x v="0"/>
    <n v="66.3"/>
    <n v="66.3"/>
    <x v="51"/>
    <d v="2025-02-22T00:00:00"/>
    <s v="F"/>
    <x v="1"/>
    <x v="0"/>
    <x v="0"/>
    <x v="13"/>
    <n v="1"/>
    <x v="7"/>
    <x v="2"/>
  </r>
  <r>
    <s v="TX501358"/>
    <x v="7"/>
    <x v="0"/>
    <n v="33.5"/>
    <n v="33.5"/>
    <x v="51"/>
    <d v="2025-02-25T00:00:00"/>
    <s v="M"/>
    <x v="2"/>
    <x v="0"/>
    <x v="0"/>
    <x v="13"/>
    <n v="4"/>
    <x v="7"/>
    <x v="1"/>
  </r>
  <r>
    <s v="TX501359"/>
    <x v="12"/>
    <x v="1"/>
    <n v="70.8"/>
    <n v="141.6"/>
    <x v="51"/>
    <d v="2025-02-22T00:00:00"/>
    <s v=""/>
    <x v="0"/>
    <x v="0"/>
    <x v="0"/>
    <x v="28"/>
    <n v="1"/>
    <x v="7"/>
    <x v="0"/>
  </r>
  <r>
    <s v="TX501360"/>
    <x v="6"/>
    <x v="1"/>
    <n v="127.6"/>
    <n v="255.2"/>
    <x v="51"/>
    <d v="2025-02-22T00:00:00"/>
    <s v="M"/>
    <x v="0"/>
    <x v="0"/>
    <x v="0"/>
    <x v="21"/>
    <n v="1"/>
    <x v="7"/>
    <x v="1"/>
  </r>
  <r>
    <s v="TX501361"/>
    <x v="6"/>
    <x v="2"/>
    <n v="95.9"/>
    <n v="287.70000000000005"/>
    <x v="51"/>
    <d v="2025-02-22T00:00:00"/>
    <s v="F"/>
    <x v="1"/>
    <x v="1"/>
    <x v="0"/>
    <x v="21"/>
    <n v="1"/>
    <x v="7"/>
    <x v="2"/>
  </r>
  <r>
    <s v="TX501362"/>
    <x v="2"/>
    <x v="1"/>
    <n v="78.099999999999994"/>
    <n v="156.19999999999999"/>
    <x v="51"/>
    <d v="2025-02-22T00:00:00"/>
    <s v="M"/>
    <x v="0"/>
    <x v="0"/>
    <x v="0"/>
    <x v="1"/>
    <n v="1"/>
    <x v="7"/>
    <x v="1"/>
  </r>
  <r>
    <s v="TX501363"/>
    <x v="13"/>
    <x v="1"/>
    <n v="43.2"/>
    <n v="86.4"/>
    <x v="51"/>
    <d v="2025-02-22T00:00:00"/>
    <s v=""/>
    <x v="1"/>
    <x v="1"/>
    <x v="0"/>
    <x v="1"/>
    <n v="1"/>
    <x v="7"/>
    <x v="0"/>
  </r>
  <r>
    <s v="TX501364"/>
    <x v="8"/>
    <x v="12"/>
    <n v="28.4"/>
    <n v="113.6"/>
    <x v="51"/>
    <d v="2025-02-27T00:00:00"/>
    <s v="M"/>
    <x v="2"/>
    <x v="0"/>
    <x v="0"/>
    <x v="3"/>
    <n v="6"/>
    <x v="7"/>
    <x v="1"/>
  </r>
  <r>
    <s v="TX501365"/>
    <x v="2"/>
    <x v="1"/>
    <n v="81.7"/>
    <n v="163.4"/>
    <x v="51"/>
    <d v="2025-02-21T00:00:00"/>
    <s v="M"/>
    <x v="0"/>
    <x v="0"/>
    <x v="0"/>
    <x v="3"/>
    <n v="0"/>
    <x v="7"/>
    <x v="1"/>
  </r>
  <r>
    <s v="TX501366"/>
    <x v="18"/>
    <x v="1"/>
    <n v="56.7"/>
    <n v="113.4"/>
    <x v="51"/>
    <d v="2025-02-23T00:00:00"/>
    <s v=""/>
    <x v="0"/>
    <x v="2"/>
    <x v="0"/>
    <x v="3"/>
    <n v="2"/>
    <x v="7"/>
    <x v="0"/>
  </r>
  <r>
    <s v="TX501367"/>
    <x v="3"/>
    <x v="12"/>
    <n v="66.5"/>
    <n v="266"/>
    <x v="51"/>
    <d v="2025-02-21T00:00:00"/>
    <s v="F"/>
    <x v="0"/>
    <x v="2"/>
    <x v="0"/>
    <x v="3"/>
    <n v="0"/>
    <x v="7"/>
    <x v="2"/>
  </r>
  <r>
    <s v="TX501368"/>
    <x v="1"/>
    <x v="1"/>
    <n v="105.3"/>
    <n v="210.6"/>
    <x v="51"/>
    <d v="2025-02-25T00:00:00"/>
    <s v="M"/>
    <x v="0"/>
    <x v="1"/>
    <x v="0"/>
    <x v="3"/>
    <n v="4"/>
    <x v="7"/>
    <x v="1"/>
  </r>
  <r>
    <s v="TX501369"/>
    <x v="10"/>
    <x v="9"/>
    <n v="33.799999999999997"/>
    <n v="169"/>
    <x v="51"/>
    <d v="2025-02-26T00:00:00"/>
    <s v="M"/>
    <x v="0"/>
    <x v="0"/>
    <x v="0"/>
    <x v="3"/>
    <n v="5"/>
    <x v="7"/>
    <x v="1"/>
  </r>
  <r>
    <s v="TX501370"/>
    <x v="6"/>
    <x v="2"/>
    <n v="63.4"/>
    <n v="190.2"/>
    <x v="51"/>
    <d v="2025-02-26T00:00:00"/>
    <s v="M"/>
    <x v="3"/>
    <x v="1"/>
    <x v="0"/>
    <x v="24"/>
    <n v="5"/>
    <x v="7"/>
    <x v="1"/>
  </r>
  <r>
    <s v="TX501371"/>
    <x v="6"/>
    <x v="2"/>
    <n v="49"/>
    <n v="147"/>
    <x v="51"/>
    <d v="2025-02-25T00:00:00"/>
    <s v="M"/>
    <x v="3"/>
    <x v="0"/>
    <x v="0"/>
    <x v="49"/>
    <n v="4"/>
    <x v="7"/>
    <x v="1"/>
  </r>
  <r>
    <s v="TX501372"/>
    <x v="1"/>
    <x v="1"/>
    <n v="40"/>
    <n v="80"/>
    <x v="51"/>
    <d v="2025-02-22T00:00:00"/>
    <s v="F"/>
    <x v="4"/>
    <x v="1"/>
    <x v="0"/>
    <x v="23"/>
    <n v="1"/>
    <x v="7"/>
    <x v="2"/>
  </r>
  <r>
    <s v="TX501373"/>
    <x v="6"/>
    <x v="12"/>
    <n v="86.3"/>
    <n v="345.2"/>
    <x v="51"/>
    <d v="2025-02-22T00:00:00"/>
    <s v="O"/>
    <x v="0"/>
    <x v="0"/>
    <x v="0"/>
    <x v="6"/>
    <n v="1"/>
    <x v="7"/>
    <x v="3"/>
  </r>
  <r>
    <s v="TX501374"/>
    <x v="6"/>
    <x v="0"/>
    <n v="51.6"/>
    <n v="51.6"/>
    <x v="51"/>
    <d v="2025-02-23T00:00:00"/>
    <s v="F"/>
    <x v="2"/>
    <x v="2"/>
    <x v="0"/>
    <x v="6"/>
    <n v="2"/>
    <x v="7"/>
    <x v="2"/>
  </r>
  <r>
    <s v="TX501375"/>
    <x v="10"/>
    <x v="2"/>
    <n v="26.7"/>
    <n v="80.099999999999994"/>
    <x v="51"/>
    <d v="2025-02-26T00:00:00"/>
    <s v="F"/>
    <x v="2"/>
    <x v="1"/>
    <x v="0"/>
    <x v="6"/>
    <n v="5"/>
    <x v="7"/>
    <x v="2"/>
  </r>
  <r>
    <s v="TX501376"/>
    <x v="18"/>
    <x v="1"/>
    <n v="68.099999999999994"/>
    <n v="136.19999999999999"/>
    <x v="51"/>
    <d v="2025-02-22T00:00:00"/>
    <s v="M"/>
    <x v="0"/>
    <x v="1"/>
    <x v="0"/>
    <x v="6"/>
    <n v="1"/>
    <x v="7"/>
    <x v="1"/>
  </r>
  <r>
    <s v="TX501377"/>
    <x v="1"/>
    <x v="0"/>
    <n v="81.7"/>
    <n v="81.7"/>
    <x v="51"/>
    <d v="2025-02-22T00:00:00"/>
    <s v="M"/>
    <x v="0"/>
    <x v="0"/>
    <x v="0"/>
    <x v="7"/>
    <n v="1"/>
    <x v="7"/>
    <x v="1"/>
  </r>
  <r>
    <s v="TX501378"/>
    <x v="18"/>
    <x v="7"/>
    <n v="25.1"/>
    <n v="251"/>
    <x v="51"/>
    <d v="2025-02-24T00:00:00"/>
    <s v="M"/>
    <x v="3"/>
    <x v="1"/>
    <x v="0"/>
    <x v="8"/>
    <n v="3"/>
    <x v="7"/>
    <x v="1"/>
  </r>
  <r>
    <s v="TX501379"/>
    <x v="8"/>
    <x v="0"/>
    <n v="20.2"/>
    <n v="20.2"/>
    <x v="51"/>
    <d v="2025-02-25T00:00:00"/>
    <s v="F"/>
    <x v="0"/>
    <x v="0"/>
    <x v="0"/>
    <x v="8"/>
    <n v="4"/>
    <x v="7"/>
    <x v="2"/>
  </r>
  <r>
    <s v="TX501380"/>
    <x v="8"/>
    <x v="2"/>
    <n v="15.4"/>
    <n v="46.2"/>
    <x v="51"/>
    <d v="2025-02-22T00:00:00"/>
    <s v="M"/>
    <x v="1"/>
    <x v="2"/>
    <x v="0"/>
    <x v="8"/>
    <n v="1"/>
    <x v="7"/>
    <x v="1"/>
  </r>
  <r>
    <s v="TX501381"/>
    <x v="10"/>
    <x v="0"/>
    <n v="59.2"/>
    <n v="59.2"/>
    <x v="51"/>
    <d v="2025-02-22T00:00:00"/>
    <s v="M"/>
    <x v="2"/>
    <x v="2"/>
    <x v="0"/>
    <x v="17"/>
    <n v="1"/>
    <x v="7"/>
    <x v="1"/>
  </r>
  <r>
    <s v="TX501382"/>
    <x v="0"/>
    <x v="0"/>
    <n v="46.7"/>
    <n v="46.7"/>
    <x v="51"/>
    <d v="2025-02-26T00:00:00"/>
    <s v="M"/>
    <x v="0"/>
    <x v="0"/>
    <x v="0"/>
    <x v="17"/>
    <n v="5"/>
    <x v="7"/>
    <x v="1"/>
  </r>
  <r>
    <s v="TX501383"/>
    <x v="6"/>
    <x v="20"/>
    <n v="41.6"/>
    <n v="624"/>
    <x v="51"/>
    <d v="2025-02-23T00:00:00"/>
    <s v="M"/>
    <x v="1"/>
    <x v="0"/>
    <x v="0"/>
    <x v="26"/>
    <n v="2"/>
    <x v="7"/>
    <x v="1"/>
  </r>
  <r>
    <s v="TX501384"/>
    <x v="8"/>
    <x v="1"/>
    <n v="19.2"/>
    <n v="38.4"/>
    <x v="51"/>
    <d v="2025-02-24T00:00:00"/>
    <s v="M"/>
    <x v="4"/>
    <x v="2"/>
    <x v="0"/>
    <x v="9"/>
    <n v="3"/>
    <x v="7"/>
    <x v="1"/>
  </r>
  <r>
    <s v="TX501385"/>
    <x v="17"/>
    <x v="3"/>
    <n v="41.8"/>
    <n v="292.59999999999997"/>
    <x v="51"/>
    <d v="2025-02-23T00:00:00"/>
    <s v="F"/>
    <x v="2"/>
    <x v="0"/>
    <x v="0"/>
    <x v="11"/>
    <n v="2"/>
    <x v="7"/>
    <x v="2"/>
  </r>
  <r>
    <s v="TX501386"/>
    <x v="8"/>
    <x v="13"/>
    <n v="37.4"/>
    <n v="224.39999999999998"/>
    <x v="51"/>
    <d v="2025-02-23T00:00:00"/>
    <s v="M"/>
    <x v="0"/>
    <x v="2"/>
    <x v="0"/>
    <x v="11"/>
    <n v="2"/>
    <x v="7"/>
    <x v="1"/>
  </r>
  <r>
    <s v="TX501387"/>
    <x v="10"/>
    <x v="2"/>
    <n v="60.2"/>
    <n v="180.60000000000002"/>
    <x v="51"/>
    <d v="2025-02-24T00:00:00"/>
    <s v="M"/>
    <x v="4"/>
    <x v="1"/>
    <x v="0"/>
    <x v="38"/>
    <n v="3"/>
    <x v="7"/>
    <x v="1"/>
  </r>
  <r>
    <s v="TX501388"/>
    <x v="9"/>
    <x v="1"/>
    <n v="91.5"/>
    <n v="183"/>
    <x v="52"/>
    <d v="2025-02-23T00:00:00"/>
    <s v="M"/>
    <x v="0"/>
    <x v="0"/>
    <x v="0"/>
    <x v="13"/>
    <n v="1"/>
    <x v="7"/>
    <x v="1"/>
  </r>
  <r>
    <s v="TX501389"/>
    <x v="3"/>
    <x v="9"/>
    <n v="55.7"/>
    <n v="278.5"/>
    <x v="52"/>
    <d v="2025-02-24T00:00:00"/>
    <s v=""/>
    <x v="1"/>
    <x v="2"/>
    <x v="0"/>
    <x v="21"/>
    <n v="2"/>
    <x v="7"/>
    <x v="0"/>
  </r>
  <r>
    <s v="TX501390"/>
    <x v="7"/>
    <x v="1"/>
    <n v="76.7"/>
    <n v="153.4"/>
    <x v="52"/>
    <d v="2025-02-24T00:00:00"/>
    <s v="M"/>
    <x v="0"/>
    <x v="1"/>
    <x v="0"/>
    <x v="21"/>
    <n v="2"/>
    <x v="7"/>
    <x v="1"/>
  </r>
  <r>
    <s v="TX501391"/>
    <x v="8"/>
    <x v="38"/>
    <n v="28.2"/>
    <n v="592.19999999999993"/>
    <x v="52"/>
    <d v="2025-02-27T00:00:00"/>
    <s v="M"/>
    <x v="2"/>
    <x v="0"/>
    <x v="0"/>
    <x v="1"/>
    <n v="5"/>
    <x v="7"/>
    <x v="1"/>
  </r>
  <r>
    <s v="TX501392"/>
    <x v="7"/>
    <x v="9"/>
    <n v="93.2"/>
    <n v="466"/>
    <x v="52"/>
    <d v="2025-02-24T00:00:00"/>
    <s v="F"/>
    <x v="4"/>
    <x v="2"/>
    <x v="0"/>
    <x v="1"/>
    <n v="2"/>
    <x v="7"/>
    <x v="2"/>
  </r>
  <r>
    <s v="TX501393"/>
    <x v="17"/>
    <x v="0"/>
    <n v="33.299999999999997"/>
    <n v="33.299999999999997"/>
    <x v="52"/>
    <d v="2025-02-23T00:00:00"/>
    <s v="M"/>
    <x v="4"/>
    <x v="0"/>
    <x v="0"/>
    <x v="2"/>
    <n v="1"/>
    <x v="7"/>
    <x v="1"/>
  </r>
  <r>
    <s v="TX501394"/>
    <x v="10"/>
    <x v="1"/>
    <n v="39.1"/>
    <n v="78.2"/>
    <x v="52"/>
    <d v="2025-02-25T00:00:00"/>
    <s v="M"/>
    <x v="0"/>
    <x v="0"/>
    <x v="0"/>
    <x v="44"/>
    <n v="3"/>
    <x v="7"/>
    <x v="1"/>
  </r>
  <r>
    <s v="TX501395"/>
    <x v="7"/>
    <x v="4"/>
    <n v="45.3"/>
    <n v="543.59999999999991"/>
    <x v="52"/>
    <d v="2025-02-23T00:00:00"/>
    <s v="M"/>
    <x v="2"/>
    <x v="0"/>
    <x v="0"/>
    <x v="33"/>
    <n v="1"/>
    <x v="7"/>
    <x v="1"/>
  </r>
  <r>
    <s v="TX501396"/>
    <x v="9"/>
    <x v="3"/>
    <n v="33.9"/>
    <n v="237.29999999999998"/>
    <x v="52"/>
    <d v="2025-02-23T00:00:00"/>
    <s v="M"/>
    <x v="4"/>
    <x v="0"/>
    <x v="0"/>
    <x v="33"/>
    <n v="1"/>
    <x v="7"/>
    <x v="1"/>
  </r>
  <r>
    <s v="TX501397"/>
    <x v="8"/>
    <x v="2"/>
    <n v="19"/>
    <n v="57"/>
    <x v="52"/>
    <d v="2025-02-23T00:00:00"/>
    <s v="M"/>
    <x v="0"/>
    <x v="2"/>
    <x v="0"/>
    <x v="15"/>
    <n v="1"/>
    <x v="7"/>
    <x v="1"/>
  </r>
  <r>
    <s v="TX501398"/>
    <x v="4"/>
    <x v="0"/>
    <n v="41.9"/>
    <n v="41.9"/>
    <x v="52"/>
    <d v="2025-02-25T00:00:00"/>
    <s v="F"/>
    <x v="2"/>
    <x v="0"/>
    <x v="0"/>
    <x v="22"/>
    <n v="3"/>
    <x v="7"/>
    <x v="2"/>
  </r>
  <r>
    <s v="TX501399"/>
    <x v="1"/>
    <x v="12"/>
    <n v="37.5"/>
    <n v="150"/>
    <x v="52"/>
    <d v="2025-02-22T00:00:00"/>
    <s v="F"/>
    <x v="0"/>
    <x v="0"/>
    <x v="0"/>
    <x v="3"/>
    <n v="0"/>
    <x v="7"/>
    <x v="2"/>
  </r>
  <r>
    <s v="TX501400"/>
    <x v="0"/>
    <x v="1"/>
    <n v="40.799999999999997"/>
    <n v="81.599999999999994"/>
    <x v="52"/>
    <d v="2025-02-25T00:00:00"/>
    <s v="M"/>
    <x v="0"/>
    <x v="0"/>
    <x v="0"/>
    <x v="3"/>
    <n v="3"/>
    <x v="7"/>
    <x v="1"/>
  </r>
  <r>
    <s v="TX501401"/>
    <x v="0"/>
    <x v="12"/>
    <n v="23.1"/>
    <n v="92.4"/>
    <x v="52"/>
    <d v="2025-02-23T00:00:00"/>
    <s v="F"/>
    <x v="4"/>
    <x v="0"/>
    <x v="0"/>
    <x v="3"/>
    <n v="1"/>
    <x v="7"/>
    <x v="2"/>
  </r>
  <r>
    <s v="TX501402"/>
    <x v="8"/>
    <x v="9"/>
    <n v="39.299999999999997"/>
    <n v="196.5"/>
    <x v="52"/>
    <d v="2025-02-23T00:00:00"/>
    <s v="F"/>
    <x v="0"/>
    <x v="0"/>
    <x v="0"/>
    <x v="3"/>
    <n v="1"/>
    <x v="7"/>
    <x v="2"/>
  </r>
  <r>
    <s v="TX501403"/>
    <x v="2"/>
    <x v="12"/>
    <n v="85.2"/>
    <n v="340.8"/>
    <x v="52"/>
    <d v="2025-02-27T00:00:00"/>
    <s v="M"/>
    <x v="2"/>
    <x v="0"/>
    <x v="0"/>
    <x v="3"/>
    <n v="5"/>
    <x v="7"/>
    <x v="1"/>
  </r>
  <r>
    <s v="TX501404"/>
    <x v="8"/>
    <x v="13"/>
    <n v="16"/>
    <n v="96"/>
    <x v="52"/>
    <d v="2025-02-25T00:00:00"/>
    <s v="M"/>
    <x v="1"/>
    <x v="0"/>
    <x v="0"/>
    <x v="3"/>
    <n v="3"/>
    <x v="7"/>
    <x v="1"/>
  </r>
  <r>
    <s v="TX501405"/>
    <x v="1"/>
    <x v="1"/>
    <n v="33.799999999999997"/>
    <n v="67.599999999999994"/>
    <x v="52"/>
    <d v="2025-02-26T00:00:00"/>
    <s v="F"/>
    <x v="1"/>
    <x v="0"/>
    <x v="0"/>
    <x v="3"/>
    <n v="4"/>
    <x v="7"/>
    <x v="2"/>
  </r>
  <r>
    <s v="TX501406"/>
    <x v="3"/>
    <x v="0"/>
    <n v="70"/>
    <n v="70"/>
    <x v="52"/>
    <d v="2025-02-23T00:00:00"/>
    <s v="F"/>
    <x v="0"/>
    <x v="0"/>
    <x v="0"/>
    <x v="3"/>
    <n v="1"/>
    <x v="7"/>
    <x v="2"/>
  </r>
  <r>
    <s v="TX501407"/>
    <x v="9"/>
    <x v="0"/>
    <n v="88"/>
    <n v="88"/>
    <x v="52"/>
    <d v="2025-02-27T00:00:00"/>
    <s v="F"/>
    <x v="3"/>
    <x v="0"/>
    <x v="0"/>
    <x v="3"/>
    <n v="5"/>
    <x v="7"/>
    <x v="2"/>
  </r>
  <r>
    <s v="TX501408"/>
    <x v="2"/>
    <x v="2"/>
    <n v="74.099999999999994"/>
    <n v="222.29999999999998"/>
    <x v="52"/>
    <d v="2025-02-22T00:00:00"/>
    <s v="M"/>
    <x v="4"/>
    <x v="1"/>
    <x v="0"/>
    <x v="3"/>
    <n v="0"/>
    <x v="7"/>
    <x v="1"/>
  </r>
  <r>
    <s v="TX501409"/>
    <x v="2"/>
    <x v="0"/>
    <n v="161.9"/>
    <n v="161.9"/>
    <x v="52"/>
    <d v="2025-02-24T00:00:00"/>
    <s v="M"/>
    <x v="2"/>
    <x v="0"/>
    <x v="0"/>
    <x v="3"/>
    <n v="2"/>
    <x v="7"/>
    <x v="1"/>
  </r>
  <r>
    <s v="TX501410"/>
    <x v="4"/>
    <x v="1"/>
    <n v="44"/>
    <n v="88"/>
    <x v="52"/>
    <d v="2025-02-23T00:00:00"/>
    <s v="O"/>
    <x v="4"/>
    <x v="1"/>
    <x v="0"/>
    <x v="3"/>
    <n v="1"/>
    <x v="7"/>
    <x v="3"/>
  </r>
  <r>
    <s v="TX501411"/>
    <x v="11"/>
    <x v="0"/>
    <n v="32.1"/>
    <n v="32.1"/>
    <x v="52"/>
    <d v="2025-02-22T00:00:00"/>
    <s v="F"/>
    <x v="3"/>
    <x v="3"/>
    <x v="0"/>
    <x v="3"/>
    <n v="0"/>
    <x v="7"/>
    <x v="2"/>
  </r>
  <r>
    <s v="TX501412"/>
    <x v="2"/>
    <x v="12"/>
    <n v="104.8"/>
    <n v="419.2"/>
    <x v="53"/>
    <d v="2025-02-25T00:00:00"/>
    <s v="O"/>
    <x v="0"/>
    <x v="0"/>
    <x v="0"/>
    <x v="3"/>
    <n v="2"/>
    <x v="8"/>
    <x v="3"/>
  </r>
  <r>
    <s v="TX501413"/>
    <x v="9"/>
    <x v="13"/>
    <n v="67.400000000000006"/>
    <n v="404.40000000000003"/>
    <x v="53"/>
    <d v="2025-02-24T00:00:00"/>
    <s v="F"/>
    <x v="3"/>
    <x v="0"/>
    <x v="0"/>
    <x v="3"/>
    <n v="1"/>
    <x v="8"/>
    <x v="2"/>
  </r>
  <r>
    <s v="TX501414"/>
    <x v="6"/>
    <x v="1"/>
    <n v="115.2"/>
    <n v="230.4"/>
    <x v="53"/>
    <d v="2025-02-24T00:00:00"/>
    <s v="F"/>
    <x v="1"/>
    <x v="0"/>
    <x v="0"/>
    <x v="4"/>
    <n v="1"/>
    <x v="8"/>
    <x v="2"/>
  </r>
  <r>
    <s v="TX501415"/>
    <x v="8"/>
    <x v="19"/>
    <n v="15.5"/>
    <n v="449.5"/>
    <x v="53"/>
    <d v="2025-02-25T00:00:00"/>
    <s v="F"/>
    <x v="0"/>
    <x v="1"/>
    <x v="0"/>
    <x v="23"/>
    <n v="2"/>
    <x v="8"/>
    <x v="2"/>
  </r>
  <r>
    <s v="TX501416"/>
    <x v="6"/>
    <x v="5"/>
    <n v="66.400000000000006"/>
    <n v="730.40000000000009"/>
    <x v="53"/>
    <d v="2025-02-25T00:00:00"/>
    <s v="F"/>
    <x v="0"/>
    <x v="0"/>
    <x v="0"/>
    <x v="6"/>
    <n v="2"/>
    <x v="8"/>
    <x v="2"/>
  </r>
  <r>
    <s v="TX501417"/>
    <x v="9"/>
    <x v="4"/>
    <n v="68.099999999999994"/>
    <n v="817.19999999999993"/>
    <x v="53"/>
    <d v="2025-02-24T00:00:00"/>
    <s v="F"/>
    <x v="2"/>
    <x v="0"/>
    <x v="0"/>
    <x v="8"/>
    <n v="1"/>
    <x v="8"/>
    <x v="2"/>
  </r>
  <r>
    <s v="TX501418"/>
    <x v="8"/>
    <x v="9"/>
    <n v="32.5"/>
    <n v="162.5"/>
    <x v="53"/>
    <d v="2025-02-27T00:00:00"/>
    <s v="M"/>
    <x v="2"/>
    <x v="1"/>
    <x v="0"/>
    <x v="8"/>
    <n v="4"/>
    <x v="8"/>
    <x v="1"/>
  </r>
  <r>
    <s v="TX501419"/>
    <x v="15"/>
    <x v="2"/>
    <n v="61.2"/>
    <n v="183.60000000000002"/>
    <x v="53"/>
    <d v="2025-02-25T00:00:00"/>
    <s v="F"/>
    <x v="1"/>
    <x v="1"/>
    <x v="0"/>
    <x v="8"/>
    <n v="2"/>
    <x v="8"/>
    <x v="2"/>
  </r>
  <r>
    <s v="TX501420"/>
    <x v="9"/>
    <x v="1"/>
    <n v="54.2"/>
    <n v="108.4"/>
    <x v="53"/>
    <d v="2025-02-24T00:00:00"/>
    <s v="F"/>
    <x v="1"/>
    <x v="0"/>
    <x v="0"/>
    <x v="8"/>
    <n v="1"/>
    <x v="8"/>
    <x v="2"/>
  </r>
  <r>
    <s v="TX501421"/>
    <x v="11"/>
    <x v="8"/>
    <n v="28.7"/>
    <n v="229.6"/>
    <x v="53"/>
    <d v="2025-02-25T00:00:00"/>
    <s v="M"/>
    <x v="1"/>
    <x v="0"/>
    <x v="0"/>
    <x v="9"/>
    <n v="2"/>
    <x v="8"/>
    <x v="1"/>
  </r>
  <r>
    <s v="TX501422"/>
    <x v="12"/>
    <x v="13"/>
    <n v="38.200000000000003"/>
    <n v="229.20000000000002"/>
    <x v="53"/>
    <d v="2025-02-27T00:00:00"/>
    <s v="F"/>
    <x v="0"/>
    <x v="1"/>
    <x v="0"/>
    <x v="9"/>
    <n v="4"/>
    <x v="8"/>
    <x v="2"/>
  </r>
  <r>
    <s v="TX501423"/>
    <x v="8"/>
    <x v="4"/>
    <n v="17.600000000000001"/>
    <n v="211.20000000000002"/>
    <x v="53"/>
    <d v="2025-02-24T00:00:00"/>
    <s v="F"/>
    <x v="2"/>
    <x v="1"/>
    <x v="0"/>
    <x v="9"/>
    <n v="1"/>
    <x v="8"/>
    <x v="2"/>
  </r>
  <r>
    <s v="TX501424"/>
    <x v="10"/>
    <x v="2"/>
    <n v="74.599999999999994"/>
    <n v="223.79999999999998"/>
    <x v="53"/>
    <d v="2025-02-23T00:00:00"/>
    <s v="F"/>
    <x v="2"/>
    <x v="0"/>
    <x v="0"/>
    <x v="11"/>
    <n v="0"/>
    <x v="8"/>
    <x v="2"/>
  </r>
  <r>
    <s v="TX501425"/>
    <x v="16"/>
    <x v="20"/>
    <n v="72.599999999999994"/>
    <n v="1089"/>
    <x v="53"/>
    <d v="2025-02-23T00:00:00"/>
    <s v=""/>
    <x v="1"/>
    <x v="1"/>
    <x v="0"/>
    <x v="11"/>
    <n v="0"/>
    <x v="8"/>
    <x v="0"/>
  </r>
  <r>
    <s v="TX501426"/>
    <x v="7"/>
    <x v="0"/>
    <n v="62.3"/>
    <n v="62.3"/>
    <x v="53"/>
    <d v="2025-02-24T00:00:00"/>
    <s v="F"/>
    <x v="1"/>
    <x v="0"/>
    <x v="0"/>
    <x v="11"/>
    <n v="1"/>
    <x v="8"/>
    <x v="2"/>
  </r>
  <r>
    <s v="TX501427"/>
    <x v="3"/>
    <x v="2"/>
    <n v="33.799999999999997"/>
    <n v="101.39999999999999"/>
    <x v="53"/>
    <d v="2025-02-25T00:00:00"/>
    <s v="M"/>
    <x v="0"/>
    <x v="2"/>
    <x v="0"/>
    <x v="20"/>
    <n v="2"/>
    <x v="8"/>
    <x v="1"/>
  </r>
  <r>
    <s v="TX501428"/>
    <x v="9"/>
    <x v="0"/>
    <n v="85.7"/>
    <n v="85.7"/>
    <x v="53"/>
    <d v="2025-02-26T00:00:00"/>
    <s v="M"/>
    <x v="3"/>
    <x v="1"/>
    <x v="0"/>
    <x v="21"/>
    <n v="3"/>
    <x v="8"/>
    <x v="1"/>
  </r>
  <r>
    <s v="TX501429"/>
    <x v="6"/>
    <x v="1"/>
    <n v="92.1"/>
    <n v="184.2"/>
    <x v="53"/>
    <d v="2025-02-25T00:00:00"/>
    <s v="M"/>
    <x v="1"/>
    <x v="0"/>
    <x v="0"/>
    <x v="21"/>
    <n v="2"/>
    <x v="8"/>
    <x v="1"/>
  </r>
  <r>
    <s v="TX501430"/>
    <x v="16"/>
    <x v="2"/>
    <n v="65.099999999999994"/>
    <n v="195.29999999999998"/>
    <x v="53"/>
    <d v="2025-02-26T00:00:00"/>
    <s v="M"/>
    <x v="0"/>
    <x v="0"/>
    <x v="0"/>
    <x v="1"/>
    <n v="3"/>
    <x v="8"/>
    <x v="1"/>
  </r>
  <r>
    <s v="TX501431"/>
    <x v="9"/>
    <x v="3"/>
    <n v="20.3"/>
    <n v="142.1"/>
    <x v="53"/>
    <d v="2025-02-24T00:00:00"/>
    <s v="F"/>
    <x v="2"/>
    <x v="2"/>
    <x v="0"/>
    <x v="2"/>
    <n v="1"/>
    <x v="8"/>
    <x v="2"/>
  </r>
  <r>
    <s v="TX501432"/>
    <x v="19"/>
    <x v="1"/>
    <n v="29.8"/>
    <n v="59.6"/>
    <x v="53"/>
    <d v="2025-02-25T00:00:00"/>
    <s v="F"/>
    <x v="1"/>
    <x v="2"/>
    <x v="0"/>
    <x v="34"/>
    <n v="2"/>
    <x v="8"/>
    <x v="2"/>
  </r>
  <r>
    <s v="TX501433"/>
    <x v="0"/>
    <x v="1"/>
    <n v="24.2"/>
    <n v="48.4"/>
    <x v="53"/>
    <d v="2025-02-25T00:00:00"/>
    <s v="F"/>
    <x v="3"/>
    <x v="2"/>
    <x v="0"/>
    <x v="3"/>
    <n v="2"/>
    <x v="8"/>
    <x v="2"/>
  </r>
  <r>
    <s v="TX501434"/>
    <x v="3"/>
    <x v="0"/>
    <n v="57.3"/>
    <n v="57.3"/>
    <x v="53"/>
    <d v="2025-02-25T00:00:00"/>
    <s v="M"/>
    <x v="0"/>
    <x v="0"/>
    <x v="0"/>
    <x v="3"/>
    <n v="2"/>
    <x v="8"/>
    <x v="1"/>
  </r>
  <r>
    <s v="TX501435"/>
    <x v="2"/>
    <x v="0"/>
    <n v="108.9"/>
    <n v="108.9"/>
    <x v="53"/>
    <d v="2025-02-25T00:00:00"/>
    <s v="F"/>
    <x v="1"/>
    <x v="0"/>
    <x v="0"/>
    <x v="3"/>
    <n v="2"/>
    <x v="8"/>
    <x v="2"/>
  </r>
  <r>
    <s v="TX501436"/>
    <x v="7"/>
    <x v="9"/>
    <n v="50.7"/>
    <n v="253.5"/>
    <x v="53"/>
    <d v="2025-02-24T00:00:00"/>
    <s v="F"/>
    <x v="0"/>
    <x v="0"/>
    <x v="0"/>
    <x v="3"/>
    <n v="1"/>
    <x v="8"/>
    <x v="2"/>
  </r>
  <r>
    <s v="TX501437"/>
    <x v="7"/>
    <x v="11"/>
    <n v="66.099999999999994"/>
    <n v="594.9"/>
    <x v="53"/>
    <d v="2025-03-09T00:00:00"/>
    <s v="F"/>
    <x v="1"/>
    <x v="0"/>
    <x v="0"/>
    <x v="3"/>
    <n v="14"/>
    <x v="8"/>
    <x v="2"/>
  </r>
  <r>
    <s v="TX501438"/>
    <x v="12"/>
    <x v="9"/>
    <n v="36.700000000000003"/>
    <n v="183.5"/>
    <x v="53"/>
    <d v="2025-02-27T00:00:00"/>
    <s v="F"/>
    <x v="4"/>
    <x v="0"/>
    <x v="0"/>
    <x v="3"/>
    <n v="4"/>
    <x v="8"/>
    <x v="2"/>
  </r>
  <r>
    <s v="TX501439"/>
    <x v="8"/>
    <x v="14"/>
    <n v="19.3"/>
    <n v="328.1"/>
    <x v="53"/>
    <d v="2025-02-25T00:00:00"/>
    <s v="M"/>
    <x v="0"/>
    <x v="0"/>
    <x v="0"/>
    <x v="43"/>
    <n v="2"/>
    <x v="8"/>
    <x v="1"/>
  </r>
  <r>
    <s v="TX501440"/>
    <x v="8"/>
    <x v="12"/>
    <n v="20.7"/>
    <n v="82.8"/>
    <x v="53"/>
    <d v="2025-02-24T00:00:00"/>
    <s v="M"/>
    <x v="1"/>
    <x v="2"/>
    <x v="0"/>
    <x v="6"/>
    <n v="1"/>
    <x v="8"/>
    <x v="1"/>
  </r>
  <r>
    <s v="TX501441"/>
    <x v="5"/>
    <x v="2"/>
    <n v="54.7"/>
    <n v="164.10000000000002"/>
    <x v="53"/>
    <d v="2025-02-23T00:00:00"/>
    <s v="O"/>
    <x v="1"/>
    <x v="4"/>
    <x v="0"/>
    <x v="6"/>
    <n v="0"/>
    <x v="8"/>
    <x v="3"/>
  </r>
  <r>
    <s v="TX501442"/>
    <x v="4"/>
    <x v="1"/>
    <n v="19.8"/>
    <n v="39.6"/>
    <x v="53"/>
    <d v="2025-02-27T00:00:00"/>
    <s v="F"/>
    <x v="4"/>
    <x v="1"/>
    <x v="0"/>
    <x v="8"/>
    <n v="4"/>
    <x v="8"/>
    <x v="2"/>
  </r>
  <r>
    <s v="TX501443"/>
    <x v="7"/>
    <x v="0"/>
    <n v="41.1"/>
    <n v="41.1"/>
    <x v="53"/>
    <d v="2025-02-25T00:00:00"/>
    <s v="F"/>
    <x v="0"/>
    <x v="2"/>
    <x v="0"/>
    <x v="8"/>
    <n v="2"/>
    <x v="8"/>
    <x v="2"/>
  </r>
  <r>
    <s v="TX501444"/>
    <x v="11"/>
    <x v="8"/>
    <n v="43.5"/>
    <n v="348"/>
    <x v="53"/>
    <d v="2025-02-27T00:00:00"/>
    <s v="F"/>
    <x v="3"/>
    <x v="0"/>
    <x v="0"/>
    <x v="8"/>
    <n v="4"/>
    <x v="8"/>
    <x v="2"/>
  </r>
  <r>
    <s v="TX501445"/>
    <x v="8"/>
    <x v="21"/>
    <n v="19"/>
    <n v="266"/>
    <x v="53"/>
    <d v="2025-02-24T00:00:00"/>
    <s v="M"/>
    <x v="0"/>
    <x v="0"/>
    <x v="0"/>
    <x v="26"/>
    <n v="1"/>
    <x v="8"/>
    <x v="1"/>
  </r>
  <r>
    <s v="TX501446"/>
    <x v="2"/>
    <x v="12"/>
    <n v="51.4"/>
    <n v="205.6"/>
    <x v="53"/>
    <d v="2025-02-23T00:00:00"/>
    <s v="F"/>
    <x v="0"/>
    <x v="0"/>
    <x v="0"/>
    <x v="26"/>
    <n v="0"/>
    <x v="8"/>
    <x v="2"/>
  </r>
  <r>
    <s v="TX501447"/>
    <x v="10"/>
    <x v="1"/>
    <n v="39.799999999999997"/>
    <n v="79.599999999999994"/>
    <x v="53"/>
    <d v="2025-02-26T00:00:00"/>
    <s v="M"/>
    <x v="3"/>
    <x v="1"/>
    <x v="0"/>
    <x v="13"/>
    <n v="3"/>
    <x v="8"/>
    <x v="1"/>
  </r>
  <r>
    <s v="TX501448"/>
    <x v="6"/>
    <x v="9"/>
    <n v="61"/>
    <n v="305"/>
    <x v="53"/>
    <d v="2025-02-24T00:00:00"/>
    <s v=""/>
    <x v="0"/>
    <x v="2"/>
    <x v="0"/>
    <x v="21"/>
    <n v="1"/>
    <x v="8"/>
    <x v="0"/>
  </r>
  <r>
    <s v="TX501449"/>
    <x v="8"/>
    <x v="5"/>
    <n v="15.1"/>
    <n v="166.1"/>
    <x v="54"/>
    <d v="2025-03-01T00:00:00"/>
    <s v="M"/>
    <x v="3"/>
    <x v="2"/>
    <x v="0"/>
    <x v="2"/>
    <n v="5"/>
    <x v="8"/>
    <x v="1"/>
  </r>
  <r>
    <s v="TX501450"/>
    <x v="1"/>
    <x v="3"/>
    <n v="71.3"/>
    <n v="499.09999999999997"/>
    <x v="54"/>
    <d v="2025-02-25T00:00:00"/>
    <s v="M"/>
    <x v="4"/>
    <x v="0"/>
    <x v="0"/>
    <x v="3"/>
    <n v="1"/>
    <x v="8"/>
    <x v="1"/>
  </r>
  <r>
    <s v="TX501451"/>
    <x v="10"/>
    <x v="0"/>
    <n v="25.8"/>
    <n v="25.8"/>
    <x v="54"/>
    <d v="2025-02-26T00:00:00"/>
    <s v="F"/>
    <x v="0"/>
    <x v="2"/>
    <x v="0"/>
    <x v="3"/>
    <n v="2"/>
    <x v="8"/>
    <x v="2"/>
  </r>
  <r>
    <s v="TX501452"/>
    <x v="8"/>
    <x v="9"/>
    <n v="39.6"/>
    <n v="198"/>
    <x v="54"/>
    <d v="2025-02-26T00:00:00"/>
    <s v="M"/>
    <x v="1"/>
    <x v="2"/>
    <x v="0"/>
    <x v="3"/>
    <n v="2"/>
    <x v="8"/>
    <x v="1"/>
  </r>
  <r>
    <s v="TX501453"/>
    <x v="5"/>
    <x v="1"/>
    <n v="64"/>
    <n v="128"/>
    <x v="54"/>
    <d v="2025-02-24T00:00:00"/>
    <s v="M"/>
    <x v="1"/>
    <x v="1"/>
    <x v="0"/>
    <x v="3"/>
    <n v="0"/>
    <x v="8"/>
    <x v="1"/>
  </r>
  <r>
    <s v="TX501454"/>
    <x v="8"/>
    <x v="1"/>
    <n v="30.6"/>
    <n v="61.2"/>
    <x v="54"/>
    <d v="2025-02-27T00:00:00"/>
    <s v="M"/>
    <x v="0"/>
    <x v="2"/>
    <x v="0"/>
    <x v="3"/>
    <n v="3"/>
    <x v="8"/>
    <x v="1"/>
  </r>
  <r>
    <s v="TX501455"/>
    <x v="8"/>
    <x v="1"/>
    <n v="21.3"/>
    <n v="42.6"/>
    <x v="54"/>
    <d v="2025-02-25T00:00:00"/>
    <s v="M"/>
    <x v="0"/>
    <x v="1"/>
    <x v="0"/>
    <x v="3"/>
    <n v="1"/>
    <x v="8"/>
    <x v="1"/>
  </r>
  <r>
    <s v="TX501456"/>
    <x v="7"/>
    <x v="0"/>
    <n v="40.799999999999997"/>
    <n v="40.799999999999997"/>
    <x v="54"/>
    <d v="2025-02-26T00:00:00"/>
    <s v="F"/>
    <x v="4"/>
    <x v="0"/>
    <x v="0"/>
    <x v="3"/>
    <n v="2"/>
    <x v="8"/>
    <x v="2"/>
  </r>
  <r>
    <s v="TX501457"/>
    <x v="9"/>
    <x v="12"/>
    <n v="27.7"/>
    <n v="110.8"/>
    <x v="54"/>
    <d v="2025-02-25T00:00:00"/>
    <s v="F"/>
    <x v="0"/>
    <x v="1"/>
    <x v="0"/>
    <x v="3"/>
    <n v="1"/>
    <x v="8"/>
    <x v="2"/>
  </r>
  <r>
    <s v="TX501458"/>
    <x v="6"/>
    <x v="1"/>
    <n v="64.599999999999994"/>
    <n v="129.19999999999999"/>
    <x v="54"/>
    <d v="2025-02-25T00:00:00"/>
    <s v="M"/>
    <x v="0"/>
    <x v="1"/>
    <x v="0"/>
    <x v="3"/>
    <n v="1"/>
    <x v="8"/>
    <x v="1"/>
  </r>
  <r>
    <s v="TX501459"/>
    <x v="6"/>
    <x v="27"/>
    <n v="91.1"/>
    <n v="1457.6"/>
    <x v="54"/>
    <d v="2025-02-25T00:00:00"/>
    <s v="F"/>
    <x v="1"/>
    <x v="2"/>
    <x v="0"/>
    <x v="3"/>
    <n v="1"/>
    <x v="8"/>
    <x v="2"/>
  </r>
  <r>
    <s v="TX501460"/>
    <x v="1"/>
    <x v="0"/>
    <n v="39.5"/>
    <n v="39.5"/>
    <x v="54"/>
    <d v="2025-03-04T00:00:00"/>
    <s v="F"/>
    <x v="0"/>
    <x v="0"/>
    <x v="0"/>
    <x v="3"/>
    <n v="8"/>
    <x v="8"/>
    <x v="2"/>
  </r>
  <r>
    <s v="TX501461"/>
    <x v="9"/>
    <x v="1"/>
    <n v="21.8"/>
    <n v="43.6"/>
    <x v="54"/>
    <d v="2025-02-28T00:00:00"/>
    <s v="M"/>
    <x v="4"/>
    <x v="2"/>
    <x v="0"/>
    <x v="3"/>
    <n v="4"/>
    <x v="8"/>
    <x v="1"/>
  </r>
  <r>
    <s v="TX501462"/>
    <x v="8"/>
    <x v="1"/>
    <n v="51"/>
    <n v="102"/>
    <x v="54"/>
    <d v="2025-02-27T00:00:00"/>
    <s v="M"/>
    <x v="3"/>
    <x v="2"/>
    <x v="0"/>
    <x v="3"/>
    <n v="3"/>
    <x v="8"/>
    <x v="1"/>
  </r>
  <r>
    <s v="TX501463"/>
    <x v="2"/>
    <x v="0"/>
    <n v="92.6"/>
    <n v="92.6"/>
    <x v="54"/>
    <d v="2025-02-27T00:00:00"/>
    <s v="F"/>
    <x v="0"/>
    <x v="2"/>
    <x v="0"/>
    <x v="35"/>
    <n v="3"/>
    <x v="8"/>
    <x v="2"/>
  </r>
  <r>
    <s v="TX501464"/>
    <x v="9"/>
    <x v="1"/>
    <n v="31.1"/>
    <n v="62.2"/>
    <x v="54"/>
    <d v="2025-03-01T00:00:00"/>
    <s v=""/>
    <x v="1"/>
    <x v="3"/>
    <x v="0"/>
    <x v="23"/>
    <n v="5"/>
    <x v="8"/>
    <x v="0"/>
  </r>
  <r>
    <s v="TX501465"/>
    <x v="5"/>
    <x v="2"/>
    <n v="56.4"/>
    <n v="169.2"/>
    <x v="54"/>
    <d v="2025-02-25T00:00:00"/>
    <s v=""/>
    <x v="1"/>
    <x v="0"/>
    <x v="0"/>
    <x v="6"/>
    <n v="1"/>
    <x v="8"/>
    <x v="0"/>
  </r>
  <r>
    <s v="TX501466"/>
    <x v="9"/>
    <x v="0"/>
    <n v="41.9"/>
    <n v="41.9"/>
    <x v="54"/>
    <d v="2025-02-24T00:00:00"/>
    <s v="M"/>
    <x v="1"/>
    <x v="0"/>
    <x v="0"/>
    <x v="6"/>
    <n v="0"/>
    <x v="8"/>
    <x v="1"/>
  </r>
  <r>
    <s v="TX501467"/>
    <x v="10"/>
    <x v="3"/>
    <n v="45.9"/>
    <n v="321.3"/>
    <x v="54"/>
    <d v="2025-02-25T00:00:00"/>
    <s v="M"/>
    <x v="3"/>
    <x v="2"/>
    <x v="0"/>
    <x v="8"/>
    <n v="1"/>
    <x v="8"/>
    <x v="1"/>
  </r>
  <r>
    <s v="TX501468"/>
    <x v="14"/>
    <x v="11"/>
    <n v="24.4"/>
    <n v="219.6"/>
    <x v="54"/>
    <d v="2025-02-28T00:00:00"/>
    <s v="M"/>
    <x v="3"/>
    <x v="2"/>
    <x v="0"/>
    <x v="8"/>
    <n v="4"/>
    <x v="8"/>
    <x v="1"/>
  </r>
  <r>
    <s v="TX501469"/>
    <x v="8"/>
    <x v="0"/>
    <n v="18.2"/>
    <n v="18.2"/>
    <x v="54"/>
    <d v="2025-02-25T00:00:00"/>
    <s v="F"/>
    <x v="2"/>
    <x v="2"/>
    <x v="0"/>
    <x v="8"/>
    <n v="1"/>
    <x v="8"/>
    <x v="2"/>
  </r>
  <r>
    <s v="TX501470"/>
    <x v="8"/>
    <x v="12"/>
    <n v="51.2"/>
    <n v="204.8"/>
    <x v="54"/>
    <d v="2025-02-25T00:00:00"/>
    <s v="F"/>
    <x v="0"/>
    <x v="0"/>
    <x v="0"/>
    <x v="8"/>
    <n v="1"/>
    <x v="8"/>
    <x v="2"/>
  </r>
  <r>
    <s v="TX501471"/>
    <x v="6"/>
    <x v="0"/>
    <n v="59.7"/>
    <n v="59.7"/>
    <x v="54"/>
    <d v="2025-02-27T00:00:00"/>
    <s v="M"/>
    <x v="0"/>
    <x v="2"/>
    <x v="0"/>
    <x v="8"/>
    <n v="3"/>
    <x v="8"/>
    <x v="1"/>
  </r>
  <r>
    <s v="TX501472"/>
    <x v="4"/>
    <x v="1"/>
    <n v="33.6"/>
    <n v="67.2"/>
    <x v="54"/>
    <d v="2025-02-26T00:00:00"/>
    <s v="F"/>
    <x v="0"/>
    <x v="0"/>
    <x v="0"/>
    <x v="17"/>
    <n v="2"/>
    <x v="8"/>
    <x v="2"/>
  </r>
  <r>
    <s v="TX501473"/>
    <x v="12"/>
    <x v="0"/>
    <n v="90.4"/>
    <n v="90.4"/>
    <x v="54"/>
    <d v="2025-02-28T00:00:00"/>
    <s v="M"/>
    <x v="1"/>
    <x v="2"/>
    <x v="0"/>
    <x v="10"/>
    <n v="4"/>
    <x v="8"/>
    <x v="1"/>
  </r>
  <r>
    <s v="TX501474"/>
    <x v="11"/>
    <x v="2"/>
    <n v="70.3"/>
    <n v="210.89999999999998"/>
    <x v="54"/>
    <d v="2025-02-24T00:00:00"/>
    <s v="M"/>
    <x v="1"/>
    <x v="2"/>
    <x v="0"/>
    <x v="11"/>
    <n v="0"/>
    <x v="8"/>
    <x v="1"/>
  </r>
  <r>
    <s v="TX501475"/>
    <x v="4"/>
    <x v="1"/>
    <n v="20.5"/>
    <n v="41"/>
    <x v="54"/>
    <d v="2025-02-27T00:00:00"/>
    <s v="F"/>
    <x v="0"/>
    <x v="1"/>
    <x v="0"/>
    <x v="11"/>
    <n v="3"/>
    <x v="8"/>
    <x v="2"/>
  </r>
  <r>
    <s v="TX501476"/>
    <x v="5"/>
    <x v="5"/>
    <n v="37.6"/>
    <n v="413.6"/>
    <x v="54"/>
    <d v="2025-02-25T00:00:00"/>
    <s v="M"/>
    <x v="0"/>
    <x v="0"/>
    <x v="0"/>
    <x v="38"/>
    <n v="1"/>
    <x v="8"/>
    <x v="1"/>
  </r>
  <r>
    <s v="TX501477"/>
    <x v="5"/>
    <x v="12"/>
    <n v="61.5"/>
    <n v="246"/>
    <x v="54"/>
    <d v="2025-03-03T00:00:00"/>
    <s v="F"/>
    <x v="1"/>
    <x v="4"/>
    <x v="0"/>
    <x v="13"/>
    <n v="7"/>
    <x v="8"/>
    <x v="2"/>
  </r>
  <r>
    <s v="TX501478"/>
    <x v="9"/>
    <x v="0"/>
    <n v="33.5"/>
    <n v="33.5"/>
    <x v="55"/>
    <d v="2025-03-01T00:00:00"/>
    <s v="M"/>
    <x v="4"/>
    <x v="1"/>
    <x v="0"/>
    <x v="21"/>
    <n v="4"/>
    <x v="8"/>
    <x v="1"/>
  </r>
  <r>
    <s v="TX501479"/>
    <x v="4"/>
    <x v="2"/>
    <n v="29.3"/>
    <n v="87.9"/>
    <x v="55"/>
    <d v="2025-02-27T00:00:00"/>
    <s v="F"/>
    <x v="1"/>
    <x v="2"/>
    <x v="0"/>
    <x v="1"/>
    <n v="2"/>
    <x v="8"/>
    <x v="2"/>
  </r>
  <r>
    <s v="TX501480"/>
    <x v="2"/>
    <x v="1"/>
    <n v="125.9"/>
    <n v="251.8"/>
    <x v="55"/>
    <d v="2025-03-02T00:00:00"/>
    <s v="F"/>
    <x v="4"/>
    <x v="1"/>
    <x v="0"/>
    <x v="1"/>
    <n v="5"/>
    <x v="8"/>
    <x v="2"/>
  </r>
  <r>
    <s v="TX501481"/>
    <x v="5"/>
    <x v="9"/>
    <n v="29.3"/>
    <n v="146.5"/>
    <x v="55"/>
    <d v="2025-02-25T00:00:00"/>
    <s v="M"/>
    <x v="2"/>
    <x v="0"/>
    <x v="0"/>
    <x v="44"/>
    <n v="0"/>
    <x v="8"/>
    <x v="1"/>
  </r>
  <r>
    <s v="TX501482"/>
    <x v="9"/>
    <x v="0"/>
    <n v="37.799999999999997"/>
    <n v="37.799999999999997"/>
    <x v="55"/>
    <d v="2025-02-28T00:00:00"/>
    <s v="F"/>
    <x v="0"/>
    <x v="2"/>
    <x v="0"/>
    <x v="3"/>
    <n v="3"/>
    <x v="8"/>
    <x v="2"/>
  </r>
  <r>
    <s v="TX501483"/>
    <x v="0"/>
    <x v="12"/>
    <n v="31.7"/>
    <n v="126.8"/>
    <x v="55"/>
    <d v="2025-02-26T00:00:00"/>
    <s v="M"/>
    <x v="2"/>
    <x v="2"/>
    <x v="0"/>
    <x v="3"/>
    <n v="1"/>
    <x v="8"/>
    <x v="1"/>
  </r>
  <r>
    <s v="TX501484"/>
    <x v="8"/>
    <x v="9"/>
    <n v="26.3"/>
    <n v="131.5"/>
    <x v="55"/>
    <d v="2025-02-26T00:00:00"/>
    <s v="F"/>
    <x v="3"/>
    <x v="2"/>
    <x v="0"/>
    <x v="3"/>
    <n v="1"/>
    <x v="8"/>
    <x v="2"/>
  </r>
  <r>
    <s v="TX501485"/>
    <x v="8"/>
    <x v="2"/>
    <n v="23.1"/>
    <n v="69.300000000000011"/>
    <x v="55"/>
    <d v="2025-02-26T00:00:00"/>
    <s v="O"/>
    <x v="2"/>
    <x v="1"/>
    <x v="0"/>
    <x v="3"/>
    <n v="1"/>
    <x v="8"/>
    <x v="3"/>
  </r>
  <r>
    <s v="TX501486"/>
    <x v="4"/>
    <x v="0"/>
    <n v="22.3"/>
    <n v="22.3"/>
    <x v="55"/>
    <d v="2025-02-27T00:00:00"/>
    <s v="F"/>
    <x v="2"/>
    <x v="0"/>
    <x v="0"/>
    <x v="3"/>
    <n v="2"/>
    <x v="8"/>
    <x v="2"/>
  </r>
  <r>
    <s v="TX501487"/>
    <x v="12"/>
    <x v="1"/>
    <n v="99.5"/>
    <n v="199"/>
    <x v="55"/>
    <d v="2025-02-27T00:00:00"/>
    <s v="F"/>
    <x v="2"/>
    <x v="0"/>
    <x v="0"/>
    <x v="3"/>
    <n v="2"/>
    <x v="8"/>
    <x v="2"/>
  </r>
  <r>
    <s v="TX501488"/>
    <x v="12"/>
    <x v="12"/>
    <n v="47.4"/>
    <n v="189.6"/>
    <x v="55"/>
    <d v="2025-02-28T00:00:00"/>
    <s v="F"/>
    <x v="1"/>
    <x v="0"/>
    <x v="0"/>
    <x v="3"/>
    <n v="3"/>
    <x v="8"/>
    <x v="2"/>
  </r>
  <r>
    <s v="TX501489"/>
    <x v="0"/>
    <x v="5"/>
    <n v="37.5"/>
    <n v="412.5"/>
    <x v="55"/>
    <d v="2025-02-27T00:00:00"/>
    <s v="F"/>
    <x v="0"/>
    <x v="3"/>
    <x v="0"/>
    <x v="3"/>
    <n v="2"/>
    <x v="8"/>
    <x v="2"/>
  </r>
  <r>
    <s v="TX501490"/>
    <x v="10"/>
    <x v="0"/>
    <n v="45.1"/>
    <n v="45.1"/>
    <x v="55"/>
    <d v="2025-03-02T00:00:00"/>
    <s v="M"/>
    <x v="3"/>
    <x v="2"/>
    <x v="0"/>
    <x v="24"/>
    <n v="5"/>
    <x v="8"/>
    <x v="1"/>
  </r>
  <r>
    <s v="TX501491"/>
    <x v="5"/>
    <x v="7"/>
    <n v="34.4"/>
    <n v="344"/>
    <x v="55"/>
    <d v="2025-02-28T00:00:00"/>
    <s v="M"/>
    <x v="2"/>
    <x v="0"/>
    <x v="0"/>
    <x v="16"/>
    <n v="3"/>
    <x v="8"/>
    <x v="1"/>
  </r>
  <r>
    <s v="TX501492"/>
    <x v="4"/>
    <x v="1"/>
    <n v="38"/>
    <n v="76"/>
    <x v="55"/>
    <d v="2025-02-27T00:00:00"/>
    <s v="F"/>
    <x v="1"/>
    <x v="0"/>
    <x v="0"/>
    <x v="5"/>
    <n v="2"/>
    <x v="8"/>
    <x v="2"/>
  </r>
  <r>
    <s v="TX501493"/>
    <x v="3"/>
    <x v="21"/>
    <n v="32.4"/>
    <n v="453.59999999999997"/>
    <x v="55"/>
    <d v="2025-02-28T00:00:00"/>
    <s v="M"/>
    <x v="4"/>
    <x v="0"/>
    <x v="0"/>
    <x v="6"/>
    <n v="3"/>
    <x v="8"/>
    <x v="1"/>
  </r>
  <r>
    <s v="TX501494"/>
    <x v="6"/>
    <x v="2"/>
    <n v="40.9"/>
    <n v="122.69999999999999"/>
    <x v="55"/>
    <d v="2025-02-25T00:00:00"/>
    <s v=""/>
    <x v="1"/>
    <x v="0"/>
    <x v="0"/>
    <x v="8"/>
    <n v="0"/>
    <x v="8"/>
    <x v="0"/>
  </r>
  <r>
    <s v="TX501495"/>
    <x v="7"/>
    <x v="3"/>
    <n v="76.2"/>
    <n v="533.4"/>
    <x v="55"/>
    <d v="2025-02-27T00:00:00"/>
    <s v="F"/>
    <x v="2"/>
    <x v="1"/>
    <x v="0"/>
    <x v="8"/>
    <n v="2"/>
    <x v="8"/>
    <x v="2"/>
  </r>
  <r>
    <s v="TX501496"/>
    <x v="2"/>
    <x v="0"/>
    <n v="85.6"/>
    <n v="85.6"/>
    <x v="55"/>
    <d v="2025-02-27T00:00:00"/>
    <s v="M"/>
    <x v="2"/>
    <x v="0"/>
    <x v="0"/>
    <x v="8"/>
    <n v="2"/>
    <x v="8"/>
    <x v="1"/>
  </r>
  <r>
    <s v="TX501497"/>
    <x v="4"/>
    <x v="12"/>
    <n v="25"/>
    <n v="100"/>
    <x v="55"/>
    <d v="2025-02-27T00:00:00"/>
    <s v="F"/>
    <x v="2"/>
    <x v="2"/>
    <x v="0"/>
    <x v="8"/>
    <n v="2"/>
    <x v="8"/>
    <x v="2"/>
  </r>
  <r>
    <s v="TX501498"/>
    <x v="2"/>
    <x v="9"/>
    <n v="150.69999999999999"/>
    <n v="753.5"/>
    <x v="55"/>
    <d v="2025-02-26T00:00:00"/>
    <s v=""/>
    <x v="0"/>
    <x v="2"/>
    <x v="0"/>
    <x v="8"/>
    <n v="1"/>
    <x v="8"/>
    <x v="0"/>
  </r>
  <r>
    <s v="TX501499"/>
    <x v="8"/>
    <x v="0"/>
    <n v="19.600000000000001"/>
    <n v="19.600000000000001"/>
    <x v="55"/>
    <d v="2025-02-26T00:00:00"/>
    <s v="M"/>
    <x v="1"/>
    <x v="4"/>
    <x v="0"/>
    <x v="8"/>
    <n v="1"/>
    <x v="8"/>
    <x v="1"/>
  </r>
  <r>
    <s v="TX501500"/>
    <x v="13"/>
    <x v="1"/>
    <n v="37.5"/>
    <n v="75"/>
    <x v="55"/>
    <d v="2025-02-28T00:00:00"/>
    <s v="F"/>
    <x v="1"/>
    <x v="2"/>
    <x v="0"/>
    <x v="17"/>
    <n v="3"/>
    <x v="8"/>
    <x v="2"/>
  </r>
  <r>
    <s v="TX501501"/>
    <x v="9"/>
    <x v="2"/>
    <n v="51.9"/>
    <n v="155.69999999999999"/>
    <x v="55"/>
    <d v="2025-03-03T00:00:00"/>
    <s v="F"/>
    <x v="0"/>
    <x v="4"/>
    <x v="0"/>
    <x v="11"/>
    <n v="6"/>
    <x v="8"/>
    <x v="2"/>
  </r>
  <r>
    <s v="TX501502"/>
    <x v="1"/>
    <x v="1"/>
    <n v="30.9"/>
    <n v="61.8"/>
    <x v="55"/>
    <d v="2025-02-27T00:00:00"/>
    <s v="F"/>
    <x v="1"/>
    <x v="0"/>
    <x v="0"/>
    <x v="18"/>
    <n v="2"/>
    <x v="8"/>
    <x v="2"/>
  </r>
  <r>
    <s v="TX501503"/>
    <x v="4"/>
    <x v="2"/>
    <n v="21.2"/>
    <n v="63.599999999999994"/>
    <x v="55"/>
    <d v="2025-02-28T00:00:00"/>
    <s v="F"/>
    <x v="1"/>
    <x v="0"/>
    <x v="0"/>
    <x v="19"/>
    <n v="3"/>
    <x v="8"/>
    <x v="2"/>
  </r>
  <r>
    <s v="TX501504"/>
    <x v="13"/>
    <x v="14"/>
    <n v="17.5"/>
    <n v="297.5"/>
    <x v="55"/>
    <d v="2025-02-26T00:00:00"/>
    <s v="M"/>
    <x v="1"/>
    <x v="1"/>
    <x v="0"/>
    <x v="13"/>
    <n v="1"/>
    <x v="8"/>
    <x v="1"/>
  </r>
  <r>
    <s v="TX501505"/>
    <x v="12"/>
    <x v="1"/>
    <n v="53.8"/>
    <n v="107.6"/>
    <x v="55"/>
    <d v="2025-03-02T00:00:00"/>
    <s v="F"/>
    <x v="0"/>
    <x v="2"/>
    <x v="0"/>
    <x v="21"/>
    <n v="5"/>
    <x v="8"/>
    <x v="2"/>
  </r>
  <r>
    <s v="TX501506"/>
    <x v="19"/>
    <x v="1"/>
    <n v="17"/>
    <n v="34"/>
    <x v="55"/>
    <d v="2025-02-26T00:00:00"/>
    <s v="M"/>
    <x v="3"/>
    <x v="0"/>
    <x v="0"/>
    <x v="21"/>
    <n v="1"/>
    <x v="8"/>
    <x v="1"/>
  </r>
  <r>
    <s v="TX501507"/>
    <x v="6"/>
    <x v="0"/>
    <n v="103.2"/>
    <n v="103.2"/>
    <x v="55"/>
    <d v="2025-03-05T00:00:00"/>
    <s v="M"/>
    <x v="2"/>
    <x v="1"/>
    <x v="0"/>
    <x v="1"/>
    <n v="8"/>
    <x v="8"/>
    <x v="1"/>
  </r>
  <r>
    <s v="TX501508"/>
    <x v="6"/>
    <x v="12"/>
    <n v="70.3"/>
    <n v="281.2"/>
    <x v="55"/>
    <d v="2025-02-26T00:00:00"/>
    <s v="M"/>
    <x v="0"/>
    <x v="0"/>
    <x v="0"/>
    <x v="3"/>
    <n v="1"/>
    <x v="8"/>
    <x v="1"/>
  </r>
  <r>
    <s v="TX501509"/>
    <x v="2"/>
    <x v="1"/>
    <n v="73.8"/>
    <n v="147.6"/>
    <x v="55"/>
    <d v="2025-02-25T00:00:00"/>
    <s v="M"/>
    <x v="3"/>
    <x v="2"/>
    <x v="0"/>
    <x v="3"/>
    <n v="0"/>
    <x v="8"/>
    <x v="1"/>
  </r>
  <r>
    <s v="TX501510"/>
    <x v="1"/>
    <x v="4"/>
    <n v="67.7"/>
    <n v="812.40000000000009"/>
    <x v="55"/>
    <d v="2025-03-01T00:00:00"/>
    <s v="M"/>
    <x v="1"/>
    <x v="1"/>
    <x v="0"/>
    <x v="3"/>
    <n v="4"/>
    <x v="8"/>
    <x v="1"/>
  </r>
  <r>
    <s v="TX501511"/>
    <x v="13"/>
    <x v="3"/>
    <n v="43.8"/>
    <n v="306.59999999999997"/>
    <x v="55"/>
    <d v="2025-02-27T00:00:00"/>
    <s v="M"/>
    <x v="1"/>
    <x v="0"/>
    <x v="0"/>
    <x v="3"/>
    <n v="2"/>
    <x v="8"/>
    <x v="1"/>
  </r>
  <r>
    <s v="TX501512"/>
    <x v="17"/>
    <x v="13"/>
    <n v="71.900000000000006"/>
    <n v="431.40000000000003"/>
    <x v="55"/>
    <d v="2025-02-26T00:00:00"/>
    <s v="F"/>
    <x v="2"/>
    <x v="0"/>
    <x v="0"/>
    <x v="3"/>
    <n v="1"/>
    <x v="8"/>
    <x v="2"/>
  </r>
  <r>
    <s v="TX501513"/>
    <x v="8"/>
    <x v="1"/>
    <n v="26.3"/>
    <n v="52.6"/>
    <x v="56"/>
    <d v="2025-02-28T00:00:00"/>
    <s v="F"/>
    <x v="0"/>
    <x v="1"/>
    <x v="0"/>
    <x v="3"/>
    <n v="2"/>
    <x v="8"/>
    <x v="2"/>
  </r>
  <r>
    <s v="TX501514"/>
    <x v="6"/>
    <x v="12"/>
    <n v="52.6"/>
    <n v="210.4"/>
    <x v="56"/>
    <d v="2025-02-28T00:00:00"/>
    <s v="F"/>
    <x v="2"/>
    <x v="1"/>
    <x v="0"/>
    <x v="3"/>
    <n v="2"/>
    <x v="8"/>
    <x v="2"/>
  </r>
  <r>
    <s v="TX501515"/>
    <x v="10"/>
    <x v="0"/>
    <n v="32.700000000000003"/>
    <n v="32.700000000000003"/>
    <x v="56"/>
    <d v="2025-03-05T00:00:00"/>
    <s v="F"/>
    <x v="0"/>
    <x v="2"/>
    <x v="0"/>
    <x v="3"/>
    <n v="7"/>
    <x v="8"/>
    <x v="2"/>
  </r>
  <r>
    <s v="TX501516"/>
    <x v="5"/>
    <x v="12"/>
    <n v="38.9"/>
    <n v="155.6"/>
    <x v="56"/>
    <d v="2025-02-27T00:00:00"/>
    <s v="F"/>
    <x v="0"/>
    <x v="0"/>
    <x v="0"/>
    <x v="3"/>
    <n v="1"/>
    <x v="8"/>
    <x v="2"/>
  </r>
  <r>
    <s v="TX501517"/>
    <x v="9"/>
    <x v="9"/>
    <n v="35"/>
    <n v="175"/>
    <x v="56"/>
    <d v="2025-02-28T00:00:00"/>
    <s v="M"/>
    <x v="0"/>
    <x v="0"/>
    <x v="0"/>
    <x v="3"/>
    <n v="2"/>
    <x v="8"/>
    <x v="1"/>
  </r>
  <r>
    <s v="TX501518"/>
    <x v="2"/>
    <x v="1"/>
    <n v="121"/>
    <n v="242"/>
    <x v="56"/>
    <d v="2025-02-27T00:00:00"/>
    <s v="F"/>
    <x v="1"/>
    <x v="1"/>
    <x v="0"/>
    <x v="3"/>
    <n v="1"/>
    <x v="8"/>
    <x v="2"/>
  </r>
  <r>
    <s v="TX501519"/>
    <x v="6"/>
    <x v="2"/>
    <n v="65.099999999999994"/>
    <n v="195.29999999999998"/>
    <x v="56"/>
    <d v="2025-03-02T00:00:00"/>
    <s v="M"/>
    <x v="2"/>
    <x v="0"/>
    <x v="0"/>
    <x v="36"/>
    <n v="4"/>
    <x v="8"/>
    <x v="1"/>
  </r>
  <r>
    <s v="TX501520"/>
    <x v="1"/>
    <x v="38"/>
    <n v="63.8"/>
    <n v="1339.8"/>
    <x v="56"/>
    <d v="2025-02-28T00:00:00"/>
    <s v="F"/>
    <x v="0"/>
    <x v="0"/>
    <x v="0"/>
    <x v="8"/>
    <n v="2"/>
    <x v="8"/>
    <x v="2"/>
  </r>
  <r>
    <s v="TX501521"/>
    <x v="7"/>
    <x v="0"/>
    <n v="77.7"/>
    <n v="77.7"/>
    <x v="56"/>
    <d v="2025-02-28T00:00:00"/>
    <s v="M"/>
    <x v="0"/>
    <x v="0"/>
    <x v="0"/>
    <x v="8"/>
    <n v="2"/>
    <x v="8"/>
    <x v="1"/>
  </r>
  <r>
    <s v="TX501522"/>
    <x v="5"/>
    <x v="12"/>
    <n v="60.3"/>
    <n v="241.2"/>
    <x v="56"/>
    <d v="2025-02-26T00:00:00"/>
    <s v="M"/>
    <x v="0"/>
    <x v="2"/>
    <x v="0"/>
    <x v="8"/>
    <n v="0"/>
    <x v="8"/>
    <x v="1"/>
  </r>
  <r>
    <s v="TX501523"/>
    <x v="5"/>
    <x v="1"/>
    <n v="124.1"/>
    <n v="248.2"/>
    <x v="56"/>
    <d v="2025-03-01T00:00:00"/>
    <s v="F"/>
    <x v="0"/>
    <x v="2"/>
    <x v="0"/>
    <x v="8"/>
    <n v="3"/>
    <x v="8"/>
    <x v="2"/>
  </r>
  <r>
    <s v="TX501524"/>
    <x v="16"/>
    <x v="3"/>
    <n v="66"/>
    <n v="462"/>
    <x v="56"/>
    <d v="2025-02-26T00:00:00"/>
    <s v=""/>
    <x v="3"/>
    <x v="0"/>
    <x v="0"/>
    <x v="17"/>
    <n v="0"/>
    <x v="8"/>
    <x v="0"/>
  </r>
  <r>
    <s v="TX501525"/>
    <x v="2"/>
    <x v="42"/>
    <n v="118.2"/>
    <n v="7446.6"/>
    <x v="56"/>
    <d v="2025-03-03T00:00:00"/>
    <s v=""/>
    <x v="0"/>
    <x v="0"/>
    <x v="0"/>
    <x v="17"/>
    <n v="5"/>
    <x v="8"/>
    <x v="0"/>
  </r>
  <r>
    <s v="TX501526"/>
    <x v="5"/>
    <x v="9"/>
    <n v="64.3"/>
    <n v="321.5"/>
    <x v="56"/>
    <d v="2025-02-27T00:00:00"/>
    <s v="M"/>
    <x v="4"/>
    <x v="4"/>
    <x v="0"/>
    <x v="26"/>
    <n v="1"/>
    <x v="8"/>
    <x v="1"/>
  </r>
  <r>
    <s v="TX501527"/>
    <x v="1"/>
    <x v="1"/>
    <n v="54.8"/>
    <n v="109.6"/>
    <x v="56"/>
    <d v="2025-02-26T00:00:00"/>
    <s v="M"/>
    <x v="0"/>
    <x v="1"/>
    <x v="0"/>
    <x v="26"/>
    <n v="0"/>
    <x v="8"/>
    <x v="1"/>
  </r>
  <r>
    <s v="TX501528"/>
    <x v="7"/>
    <x v="1"/>
    <n v="78.599999999999994"/>
    <n v="157.19999999999999"/>
    <x v="56"/>
    <d v="2025-02-27T00:00:00"/>
    <s v="M"/>
    <x v="0"/>
    <x v="2"/>
    <x v="0"/>
    <x v="9"/>
    <n v="1"/>
    <x v="8"/>
    <x v="1"/>
  </r>
  <r>
    <s v="TX501529"/>
    <x v="2"/>
    <x v="9"/>
    <n v="158.5"/>
    <n v="792.5"/>
    <x v="56"/>
    <d v="2025-02-28T00:00:00"/>
    <s v=""/>
    <x v="2"/>
    <x v="2"/>
    <x v="0"/>
    <x v="9"/>
    <n v="2"/>
    <x v="8"/>
    <x v="0"/>
  </r>
  <r>
    <s v="TX501530"/>
    <x v="4"/>
    <x v="7"/>
    <n v="23.5"/>
    <n v="235"/>
    <x v="56"/>
    <d v="2025-03-01T00:00:00"/>
    <s v="M"/>
    <x v="0"/>
    <x v="4"/>
    <x v="0"/>
    <x v="10"/>
    <n v="3"/>
    <x v="8"/>
    <x v="1"/>
  </r>
  <r>
    <s v="TX501531"/>
    <x v="5"/>
    <x v="1"/>
    <n v="32.1"/>
    <n v="64.2"/>
    <x v="56"/>
    <d v="2025-02-28T00:00:00"/>
    <s v=""/>
    <x v="3"/>
    <x v="0"/>
    <x v="0"/>
    <x v="10"/>
    <n v="2"/>
    <x v="8"/>
    <x v="0"/>
  </r>
  <r>
    <s v="TX501532"/>
    <x v="17"/>
    <x v="12"/>
    <n v="71.900000000000006"/>
    <n v="287.60000000000002"/>
    <x v="56"/>
    <d v="2025-02-26T00:00:00"/>
    <s v="M"/>
    <x v="2"/>
    <x v="0"/>
    <x v="0"/>
    <x v="19"/>
    <n v="0"/>
    <x v="8"/>
    <x v="1"/>
  </r>
  <r>
    <s v="TX501533"/>
    <x v="4"/>
    <x v="13"/>
    <n v="22.3"/>
    <n v="133.80000000000001"/>
    <x v="56"/>
    <d v="2025-02-27T00:00:00"/>
    <s v=""/>
    <x v="3"/>
    <x v="2"/>
    <x v="0"/>
    <x v="13"/>
    <n v="1"/>
    <x v="8"/>
    <x v="0"/>
  </r>
  <r>
    <s v="TX501534"/>
    <x v="11"/>
    <x v="1"/>
    <n v="29.5"/>
    <n v="59"/>
    <x v="56"/>
    <d v="2025-02-27T00:00:00"/>
    <s v="F"/>
    <x v="0"/>
    <x v="2"/>
    <x v="0"/>
    <x v="13"/>
    <n v="1"/>
    <x v="8"/>
    <x v="2"/>
  </r>
  <r>
    <s v="TX501535"/>
    <x v="6"/>
    <x v="12"/>
    <n v="41.9"/>
    <n v="167.6"/>
    <x v="56"/>
    <d v="2025-03-02T00:00:00"/>
    <s v="F"/>
    <x v="0"/>
    <x v="1"/>
    <x v="0"/>
    <x v="21"/>
    <n v="4"/>
    <x v="8"/>
    <x v="2"/>
  </r>
  <r>
    <s v="TX501536"/>
    <x v="6"/>
    <x v="2"/>
    <n v="107.8"/>
    <n v="323.39999999999998"/>
    <x v="56"/>
    <d v="2025-02-27T00:00:00"/>
    <s v="M"/>
    <x v="1"/>
    <x v="2"/>
    <x v="0"/>
    <x v="46"/>
    <n v="1"/>
    <x v="8"/>
    <x v="1"/>
  </r>
  <r>
    <s v="TX501537"/>
    <x v="4"/>
    <x v="9"/>
    <n v="18.100000000000001"/>
    <n v="90.5"/>
    <x v="56"/>
    <d v="2025-03-01T00:00:00"/>
    <s v="M"/>
    <x v="0"/>
    <x v="2"/>
    <x v="0"/>
    <x v="2"/>
    <n v="3"/>
    <x v="8"/>
    <x v="1"/>
  </r>
  <r>
    <s v="TX501538"/>
    <x v="12"/>
    <x v="11"/>
    <n v="79.8"/>
    <n v="718.19999999999993"/>
    <x v="56"/>
    <d v="2025-02-27T00:00:00"/>
    <s v="F"/>
    <x v="1"/>
    <x v="1"/>
    <x v="0"/>
    <x v="22"/>
    <n v="1"/>
    <x v="8"/>
    <x v="2"/>
  </r>
  <r>
    <s v="TX501539"/>
    <x v="0"/>
    <x v="2"/>
    <n v="22.3"/>
    <n v="66.900000000000006"/>
    <x v="56"/>
    <d v="2025-03-01T00:00:00"/>
    <s v="F"/>
    <x v="0"/>
    <x v="2"/>
    <x v="0"/>
    <x v="22"/>
    <n v="3"/>
    <x v="8"/>
    <x v="2"/>
  </r>
  <r>
    <s v="TX501540"/>
    <x v="8"/>
    <x v="0"/>
    <n v="22.9"/>
    <n v="22.9"/>
    <x v="56"/>
    <d v="2025-02-26T00:00:00"/>
    <s v="F"/>
    <x v="1"/>
    <x v="0"/>
    <x v="0"/>
    <x v="22"/>
    <n v="0"/>
    <x v="8"/>
    <x v="2"/>
  </r>
  <r>
    <s v="TX501541"/>
    <x v="0"/>
    <x v="2"/>
    <n v="16.2"/>
    <n v="48.599999999999994"/>
    <x v="57"/>
    <d v="2025-02-27T00:00:00"/>
    <s v="M"/>
    <x v="4"/>
    <x v="2"/>
    <x v="0"/>
    <x v="3"/>
    <n v="0"/>
    <x v="8"/>
    <x v="1"/>
  </r>
  <r>
    <s v="TX501542"/>
    <x v="10"/>
    <x v="12"/>
    <n v="59.5"/>
    <n v="238"/>
    <x v="57"/>
    <d v="2025-02-28T00:00:00"/>
    <s v="M"/>
    <x v="1"/>
    <x v="2"/>
    <x v="0"/>
    <x v="3"/>
    <n v="1"/>
    <x v="8"/>
    <x v="1"/>
  </r>
  <r>
    <s v="TX501543"/>
    <x v="18"/>
    <x v="9"/>
    <n v="26.2"/>
    <n v="131"/>
    <x v="57"/>
    <d v="2025-03-02T00:00:00"/>
    <s v="M"/>
    <x v="3"/>
    <x v="4"/>
    <x v="0"/>
    <x v="3"/>
    <n v="3"/>
    <x v="8"/>
    <x v="1"/>
  </r>
  <r>
    <s v="TX501544"/>
    <x v="3"/>
    <x v="0"/>
    <n v="44.2"/>
    <n v="44.2"/>
    <x v="57"/>
    <d v="2025-03-02T00:00:00"/>
    <s v="F"/>
    <x v="1"/>
    <x v="0"/>
    <x v="0"/>
    <x v="3"/>
    <n v="3"/>
    <x v="8"/>
    <x v="2"/>
  </r>
  <r>
    <s v="TX501545"/>
    <x v="9"/>
    <x v="1"/>
    <n v="59.2"/>
    <n v="118.4"/>
    <x v="57"/>
    <d v="2025-02-27T00:00:00"/>
    <s v="F"/>
    <x v="1"/>
    <x v="4"/>
    <x v="0"/>
    <x v="3"/>
    <n v="0"/>
    <x v="8"/>
    <x v="2"/>
  </r>
  <r>
    <s v="TX501546"/>
    <x v="15"/>
    <x v="12"/>
    <n v="41.5"/>
    <n v="166"/>
    <x v="57"/>
    <d v="2025-03-01T00:00:00"/>
    <s v="F"/>
    <x v="0"/>
    <x v="0"/>
    <x v="0"/>
    <x v="16"/>
    <n v="2"/>
    <x v="8"/>
    <x v="2"/>
  </r>
  <r>
    <s v="TX501547"/>
    <x v="6"/>
    <x v="4"/>
    <n v="67.099999999999994"/>
    <n v="805.19999999999993"/>
    <x v="57"/>
    <d v="2025-03-13T00:00:00"/>
    <s v="F"/>
    <x v="0"/>
    <x v="2"/>
    <x v="0"/>
    <x v="23"/>
    <n v="14"/>
    <x v="8"/>
    <x v="2"/>
  </r>
  <r>
    <s v="TX501548"/>
    <x v="8"/>
    <x v="1"/>
    <n v="28.7"/>
    <n v="57.4"/>
    <x v="57"/>
    <d v="2025-03-03T00:00:00"/>
    <s v="F"/>
    <x v="1"/>
    <x v="0"/>
    <x v="0"/>
    <x v="6"/>
    <n v="4"/>
    <x v="8"/>
    <x v="2"/>
  </r>
  <r>
    <s v="TX501549"/>
    <x v="2"/>
    <x v="12"/>
    <n v="132.1"/>
    <n v="528.4"/>
    <x v="57"/>
    <d v="2025-02-28T00:00:00"/>
    <s v="F"/>
    <x v="0"/>
    <x v="1"/>
    <x v="0"/>
    <x v="6"/>
    <n v="1"/>
    <x v="8"/>
    <x v="2"/>
  </r>
  <r>
    <s v="TX501550"/>
    <x v="18"/>
    <x v="1"/>
    <n v="47"/>
    <n v="94"/>
    <x v="57"/>
    <d v="2025-03-01T00:00:00"/>
    <s v="M"/>
    <x v="4"/>
    <x v="0"/>
    <x v="0"/>
    <x v="8"/>
    <n v="2"/>
    <x v="8"/>
    <x v="1"/>
  </r>
  <r>
    <s v="TX501551"/>
    <x v="8"/>
    <x v="1"/>
    <n v="41.6"/>
    <n v="83.2"/>
    <x v="57"/>
    <d v="2025-03-03T00:00:00"/>
    <s v="M"/>
    <x v="1"/>
    <x v="2"/>
    <x v="0"/>
    <x v="8"/>
    <n v="4"/>
    <x v="8"/>
    <x v="1"/>
  </r>
  <r>
    <s v="TX501552"/>
    <x v="8"/>
    <x v="43"/>
    <n v="17.3"/>
    <n v="657.4"/>
    <x v="57"/>
    <d v="2025-03-01T00:00:00"/>
    <s v="M"/>
    <x v="2"/>
    <x v="2"/>
    <x v="0"/>
    <x v="8"/>
    <n v="2"/>
    <x v="8"/>
    <x v="1"/>
  </r>
  <r>
    <s v="TX501553"/>
    <x v="13"/>
    <x v="2"/>
    <n v="41.8"/>
    <n v="125.39999999999999"/>
    <x v="57"/>
    <d v="2025-03-02T00:00:00"/>
    <s v="M"/>
    <x v="0"/>
    <x v="2"/>
    <x v="0"/>
    <x v="8"/>
    <n v="3"/>
    <x v="8"/>
    <x v="1"/>
  </r>
  <r>
    <s v="TX501554"/>
    <x v="10"/>
    <x v="0"/>
    <n v="24"/>
    <n v="24"/>
    <x v="57"/>
    <d v="2025-02-28T00:00:00"/>
    <s v="F"/>
    <x v="0"/>
    <x v="0"/>
    <x v="0"/>
    <x v="17"/>
    <n v="1"/>
    <x v="8"/>
    <x v="2"/>
  </r>
  <r>
    <s v="TX501555"/>
    <x v="14"/>
    <x v="11"/>
    <n v="18.5"/>
    <n v="166.5"/>
    <x v="57"/>
    <d v="2025-03-01T00:00:00"/>
    <s v="F"/>
    <x v="0"/>
    <x v="0"/>
    <x v="0"/>
    <x v="9"/>
    <n v="2"/>
    <x v="8"/>
    <x v="2"/>
  </r>
  <r>
    <s v="TX501556"/>
    <x v="3"/>
    <x v="4"/>
    <n v="66.7"/>
    <n v="800.40000000000009"/>
    <x v="57"/>
    <d v="2025-03-02T00:00:00"/>
    <s v=""/>
    <x v="0"/>
    <x v="2"/>
    <x v="0"/>
    <x v="11"/>
    <n v="3"/>
    <x v="8"/>
    <x v="0"/>
  </r>
  <r>
    <s v="TX501557"/>
    <x v="1"/>
    <x v="12"/>
    <n v="33.1"/>
    <n v="132.4"/>
    <x v="57"/>
    <d v="2025-03-04T00:00:00"/>
    <s v="M"/>
    <x v="3"/>
    <x v="0"/>
    <x v="0"/>
    <x v="11"/>
    <n v="5"/>
    <x v="8"/>
    <x v="1"/>
  </r>
  <r>
    <s v="TX501558"/>
    <x v="19"/>
    <x v="11"/>
    <n v="42.1"/>
    <n v="378.90000000000003"/>
    <x v="57"/>
    <d v="2025-03-10T00:00:00"/>
    <s v="M"/>
    <x v="1"/>
    <x v="0"/>
    <x v="0"/>
    <x v="18"/>
    <n v="11"/>
    <x v="8"/>
    <x v="1"/>
  </r>
  <r>
    <s v="TX501559"/>
    <x v="18"/>
    <x v="3"/>
    <n v="58.7"/>
    <n v="410.90000000000003"/>
    <x v="57"/>
    <d v="2025-02-27T00:00:00"/>
    <s v="O"/>
    <x v="3"/>
    <x v="0"/>
    <x v="0"/>
    <x v="31"/>
    <n v="0"/>
    <x v="8"/>
    <x v="3"/>
  </r>
  <r>
    <s v="TX501560"/>
    <x v="6"/>
    <x v="12"/>
    <n v="54"/>
    <n v="216"/>
    <x v="57"/>
    <d v="2025-03-01T00:00:00"/>
    <s v="F"/>
    <x v="1"/>
    <x v="0"/>
    <x v="0"/>
    <x v="1"/>
    <n v="2"/>
    <x v="8"/>
    <x v="2"/>
  </r>
  <r>
    <s v="TX501561"/>
    <x v="8"/>
    <x v="0"/>
    <n v="52.1"/>
    <n v="52.1"/>
    <x v="57"/>
    <d v="2025-02-28T00:00:00"/>
    <s v="F"/>
    <x v="2"/>
    <x v="2"/>
    <x v="0"/>
    <x v="2"/>
    <n v="1"/>
    <x v="8"/>
    <x v="2"/>
  </r>
  <r>
    <s v="TX501562"/>
    <x v="19"/>
    <x v="1"/>
    <n v="27"/>
    <n v="54"/>
    <x v="57"/>
    <d v="2025-03-02T00:00:00"/>
    <s v="O"/>
    <x v="2"/>
    <x v="0"/>
    <x v="0"/>
    <x v="22"/>
    <n v="3"/>
    <x v="8"/>
    <x v="3"/>
  </r>
  <r>
    <s v="TX501563"/>
    <x v="12"/>
    <x v="7"/>
    <n v="31"/>
    <n v="310"/>
    <x v="58"/>
    <d v="2025-03-01T00:00:00"/>
    <s v="F"/>
    <x v="3"/>
    <x v="2"/>
    <x v="0"/>
    <x v="22"/>
    <n v="1"/>
    <x v="8"/>
    <x v="2"/>
  </r>
  <r>
    <s v="TX501564"/>
    <x v="10"/>
    <x v="1"/>
    <n v="46.7"/>
    <n v="93.4"/>
    <x v="58"/>
    <d v="2025-02-28T00:00:00"/>
    <s v="F"/>
    <x v="0"/>
    <x v="0"/>
    <x v="0"/>
    <x v="34"/>
    <n v="0"/>
    <x v="8"/>
    <x v="2"/>
  </r>
  <r>
    <s v="TX501565"/>
    <x v="6"/>
    <x v="0"/>
    <n v="144.69999999999999"/>
    <n v="144.69999999999999"/>
    <x v="58"/>
    <d v="2025-03-03T00:00:00"/>
    <s v="M"/>
    <x v="0"/>
    <x v="2"/>
    <x v="0"/>
    <x v="3"/>
    <n v="3"/>
    <x v="8"/>
    <x v="1"/>
  </r>
  <r>
    <s v="TX501566"/>
    <x v="2"/>
    <x v="11"/>
    <n v="90.9"/>
    <n v="818.1"/>
    <x v="58"/>
    <d v="2025-03-01T00:00:00"/>
    <s v="M"/>
    <x v="0"/>
    <x v="2"/>
    <x v="0"/>
    <x v="3"/>
    <n v="1"/>
    <x v="8"/>
    <x v="1"/>
  </r>
  <r>
    <s v="TX501567"/>
    <x v="1"/>
    <x v="1"/>
    <n v="75.8"/>
    <n v="151.6"/>
    <x v="58"/>
    <d v="2025-03-01T00:00:00"/>
    <s v="F"/>
    <x v="2"/>
    <x v="1"/>
    <x v="0"/>
    <x v="3"/>
    <n v="1"/>
    <x v="8"/>
    <x v="2"/>
  </r>
  <r>
    <s v="TX501568"/>
    <x v="7"/>
    <x v="9"/>
    <n v="57.9"/>
    <n v="289.5"/>
    <x v="58"/>
    <d v="2025-03-02T00:00:00"/>
    <s v="M"/>
    <x v="2"/>
    <x v="2"/>
    <x v="0"/>
    <x v="3"/>
    <n v="2"/>
    <x v="8"/>
    <x v="1"/>
  </r>
  <r>
    <s v="TX501569"/>
    <x v="8"/>
    <x v="9"/>
    <n v="44.8"/>
    <n v="224"/>
    <x v="58"/>
    <d v="2025-03-01T00:00:00"/>
    <s v="F"/>
    <x v="3"/>
    <x v="2"/>
    <x v="0"/>
    <x v="3"/>
    <n v="1"/>
    <x v="8"/>
    <x v="2"/>
  </r>
  <r>
    <s v="TX501570"/>
    <x v="9"/>
    <x v="2"/>
    <n v="44.2"/>
    <n v="132.60000000000002"/>
    <x v="58"/>
    <d v="2025-03-04T00:00:00"/>
    <s v="M"/>
    <x v="2"/>
    <x v="2"/>
    <x v="0"/>
    <x v="3"/>
    <n v="4"/>
    <x v="8"/>
    <x v="1"/>
  </r>
  <r>
    <s v="TX501571"/>
    <x v="5"/>
    <x v="9"/>
    <n v="53.5"/>
    <n v="267.5"/>
    <x v="58"/>
    <d v="2025-03-02T00:00:00"/>
    <s v="M"/>
    <x v="0"/>
    <x v="0"/>
    <x v="0"/>
    <x v="37"/>
    <n v="2"/>
    <x v="8"/>
    <x v="1"/>
  </r>
  <r>
    <s v="TX501572"/>
    <x v="6"/>
    <x v="1"/>
    <n v="72.2"/>
    <n v="144.4"/>
    <x v="58"/>
    <d v="2025-03-01T00:00:00"/>
    <s v="M"/>
    <x v="0"/>
    <x v="2"/>
    <x v="0"/>
    <x v="25"/>
    <n v="1"/>
    <x v="8"/>
    <x v="1"/>
  </r>
  <r>
    <s v="TX501573"/>
    <x v="6"/>
    <x v="12"/>
    <n v="62.4"/>
    <n v="249.6"/>
    <x v="58"/>
    <d v="2025-03-03T00:00:00"/>
    <s v="F"/>
    <x v="0"/>
    <x v="1"/>
    <x v="0"/>
    <x v="23"/>
    <n v="3"/>
    <x v="8"/>
    <x v="2"/>
  </r>
  <r>
    <s v="TX501574"/>
    <x v="10"/>
    <x v="9"/>
    <n v="24.7"/>
    <n v="123.5"/>
    <x v="58"/>
    <d v="2025-03-01T00:00:00"/>
    <s v="F"/>
    <x v="0"/>
    <x v="0"/>
    <x v="0"/>
    <x v="6"/>
    <n v="1"/>
    <x v="8"/>
    <x v="2"/>
  </r>
  <r>
    <s v="TX501575"/>
    <x v="1"/>
    <x v="9"/>
    <n v="61.7"/>
    <n v="308.5"/>
    <x v="58"/>
    <d v="2025-03-02T00:00:00"/>
    <s v="F"/>
    <x v="2"/>
    <x v="0"/>
    <x v="0"/>
    <x v="8"/>
    <n v="2"/>
    <x v="8"/>
    <x v="2"/>
  </r>
  <r>
    <s v="TX501576"/>
    <x v="8"/>
    <x v="9"/>
    <n v="18.2"/>
    <n v="91"/>
    <x v="58"/>
    <d v="2025-03-02T00:00:00"/>
    <s v="F"/>
    <x v="3"/>
    <x v="0"/>
    <x v="0"/>
    <x v="8"/>
    <n v="2"/>
    <x v="8"/>
    <x v="2"/>
  </r>
  <r>
    <s v="TX501577"/>
    <x v="10"/>
    <x v="12"/>
    <n v="37.200000000000003"/>
    <n v="148.80000000000001"/>
    <x v="58"/>
    <d v="2025-03-06T00:00:00"/>
    <s v="F"/>
    <x v="0"/>
    <x v="0"/>
    <x v="0"/>
    <x v="8"/>
    <n v="6"/>
    <x v="8"/>
    <x v="2"/>
  </r>
  <r>
    <s v="TX501578"/>
    <x v="9"/>
    <x v="2"/>
    <n v="53.5"/>
    <n v="160.5"/>
    <x v="58"/>
    <d v="2025-03-02T00:00:00"/>
    <s v="F"/>
    <x v="1"/>
    <x v="2"/>
    <x v="0"/>
    <x v="9"/>
    <n v="2"/>
    <x v="8"/>
    <x v="2"/>
  </r>
  <r>
    <s v="TX501579"/>
    <x v="8"/>
    <x v="2"/>
    <n v="43.6"/>
    <n v="130.80000000000001"/>
    <x v="58"/>
    <d v="2025-02-28T00:00:00"/>
    <s v="F"/>
    <x v="0"/>
    <x v="0"/>
    <x v="0"/>
    <x v="9"/>
    <n v="0"/>
    <x v="8"/>
    <x v="2"/>
  </r>
  <r>
    <s v="TX501580"/>
    <x v="1"/>
    <x v="7"/>
    <n v="135"/>
    <n v="1350"/>
    <x v="58"/>
    <d v="2025-03-02T00:00:00"/>
    <s v="F"/>
    <x v="0"/>
    <x v="2"/>
    <x v="0"/>
    <x v="9"/>
    <n v="2"/>
    <x v="8"/>
    <x v="2"/>
  </r>
  <r>
    <s v="TX501581"/>
    <x v="8"/>
    <x v="9"/>
    <n v="38.5"/>
    <n v="192.5"/>
    <x v="58"/>
    <d v="2025-02-28T00:00:00"/>
    <s v="M"/>
    <x v="4"/>
    <x v="2"/>
    <x v="0"/>
    <x v="10"/>
    <n v="0"/>
    <x v="8"/>
    <x v="1"/>
  </r>
  <r>
    <s v="TX501582"/>
    <x v="9"/>
    <x v="1"/>
    <n v="24"/>
    <n v="48"/>
    <x v="58"/>
    <d v="2025-03-05T00:00:00"/>
    <s v="F"/>
    <x v="0"/>
    <x v="0"/>
    <x v="0"/>
    <x v="11"/>
    <n v="5"/>
    <x v="8"/>
    <x v="2"/>
  </r>
  <r>
    <s v="TX501583"/>
    <x v="4"/>
    <x v="2"/>
    <n v="28.2"/>
    <n v="84.6"/>
    <x v="58"/>
    <d v="2025-03-02T00:00:00"/>
    <s v="M"/>
    <x v="0"/>
    <x v="3"/>
    <x v="0"/>
    <x v="18"/>
    <n v="2"/>
    <x v="8"/>
    <x v="1"/>
  </r>
  <r>
    <s v="TX501584"/>
    <x v="7"/>
    <x v="2"/>
    <n v="37.4"/>
    <n v="112.19999999999999"/>
    <x v="58"/>
    <d v="2025-03-01T00:00:00"/>
    <s v="F"/>
    <x v="3"/>
    <x v="0"/>
    <x v="0"/>
    <x v="1"/>
    <n v="1"/>
    <x v="8"/>
    <x v="2"/>
  </r>
  <r>
    <s v="TX501585"/>
    <x v="6"/>
    <x v="2"/>
    <n v="53.5"/>
    <n v="160.5"/>
    <x v="58"/>
    <d v="2025-03-03T00:00:00"/>
    <s v=""/>
    <x v="4"/>
    <x v="4"/>
    <x v="0"/>
    <x v="1"/>
    <n v="3"/>
    <x v="8"/>
    <x v="0"/>
  </r>
  <r>
    <s v="TX501586"/>
    <x v="11"/>
    <x v="9"/>
    <n v="36.200000000000003"/>
    <n v="181"/>
    <x v="58"/>
    <d v="2025-03-01T00:00:00"/>
    <s v="M"/>
    <x v="1"/>
    <x v="2"/>
    <x v="0"/>
    <x v="33"/>
    <n v="1"/>
    <x v="8"/>
    <x v="1"/>
  </r>
  <r>
    <s v="TX501587"/>
    <x v="0"/>
    <x v="8"/>
    <n v="31.9"/>
    <n v="255.2"/>
    <x v="58"/>
    <d v="2025-03-01T00:00:00"/>
    <s v="F"/>
    <x v="4"/>
    <x v="0"/>
    <x v="0"/>
    <x v="3"/>
    <n v="1"/>
    <x v="8"/>
    <x v="2"/>
  </r>
  <r>
    <s v="TX501588"/>
    <x v="8"/>
    <x v="2"/>
    <n v="21.3"/>
    <n v="63.900000000000006"/>
    <x v="58"/>
    <d v="2025-03-01T00:00:00"/>
    <s v="M"/>
    <x v="0"/>
    <x v="2"/>
    <x v="0"/>
    <x v="3"/>
    <n v="1"/>
    <x v="8"/>
    <x v="1"/>
  </r>
  <r>
    <s v="TX501589"/>
    <x v="8"/>
    <x v="0"/>
    <n v="36.299999999999997"/>
    <n v="36.299999999999997"/>
    <x v="58"/>
    <d v="2025-03-02T00:00:00"/>
    <s v="O"/>
    <x v="4"/>
    <x v="0"/>
    <x v="0"/>
    <x v="3"/>
    <n v="2"/>
    <x v="8"/>
    <x v="3"/>
  </r>
  <r>
    <s v="TX501590"/>
    <x v="6"/>
    <x v="2"/>
    <n v="110.5"/>
    <n v="331.5"/>
    <x v="58"/>
    <d v="2025-03-01T00:00:00"/>
    <s v="F"/>
    <x v="0"/>
    <x v="3"/>
    <x v="0"/>
    <x v="3"/>
    <n v="1"/>
    <x v="8"/>
    <x v="2"/>
  </r>
  <r>
    <s v="TX501591"/>
    <x v="10"/>
    <x v="3"/>
    <n v="32.6"/>
    <n v="228.20000000000002"/>
    <x v="58"/>
    <d v="2025-03-02T00:00:00"/>
    <s v="F"/>
    <x v="0"/>
    <x v="1"/>
    <x v="0"/>
    <x v="3"/>
    <n v="2"/>
    <x v="8"/>
    <x v="2"/>
  </r>
  <r>
    <s v="TX501592"/>
    <x v="5"/>
    <x v="2"/>
    <n v="55.6"/>
    <n v="166.8"/>
    <x v="59"/>
    <d v="2025-03-14T00:00:00"/>
    <s v="F"/>
    <x v="0"/>
    <x v="0"/>
    <x v="0"/>
    <x v="3"/>
    <n v="13"/>
    <x v="8"/>
    <x v="2"/>
  </r>
  <r>
    <s v="TX501593"/>
    <x v="1"/>
    <x v="12"/>
    <n v="38"/>
    <n v="152"/>
    <x v="59"/>
    <d v="2025-03-02T00:00:00"/>
    <s v="F"/>
    <x v="3"/>
    <x v="2"/>
    <x v="0"/>
    <x v="5"/>
    <n v="1"/>
    <x v="8"/>
    <x v="2"/>
  </r>
  <r>
    <s v="TX501594"/>
    <x v="10"/>
    <x v="1"/>
    <n v="51.8"/>
    <n v="103.6"/>
    <x v="59"/>
    <d v="2025-03-07T00:00:00"/>
    <s v="M"/>
    <x v="1"/>
    <x v="4"/>
    <x v="0"/>
    <x v="6"/>
    <n v="6"/>
    <x v="8"/>
    <x v="1"/>
  </r>
  <r>
    <s v="TX501595"/>
    <x v="11"/>
    <x v="8"/>
    <n v="28.7"/>
    <n v="229.6"/>
    <x v="59"/>
    <d v="2025-03-06T00:00:00"/>
    <s v="F"/>
    <x v="0"/>
    <x v="0"/>
    <x v="0"/>
    <x v="6"/>
    <n v="5"/>
    <x v="8"/>
    <x v="2"/>
  </r>
  <r>
    <s v="TX501596"/>
    <x v="6"/>
    <x v="4"/>
    <n v="52.2"/>
    <n v="626.40000000000009"/>
    <x v="59"/>
    <d v="2025-03-01T00:00:00"/>
    <s v="M"/>
    <x v="0"/>
    <x v="1"/>
    <x v="0"/>
    <x v="6"/>
    <n v="0"/>
    <x v="8"/>
    <x v="1"/>
  </r>
  <r>
    <s v="TX501597"/>
    <x v="1"/>
    <x v="1"/>
    <n v="68.2"/>
    <n v="136.4"/>
    <x v="59"/>
    <d v="2025-03-02T00:00:00"/>
    <s v=""/>
    <x v="2"/>
    <x v="0"/>
    <x v="0"/>
    <x v="7"/>
    <n v="1"/>
    <x v="8"/>
    <x v="0"/>
  </r>
  <r>
    <s v="TX501598"/>
    <x v="0"/>
    <x v="2"/>
    <n v="34"/>
    <n v="102"/>
    <x v="59"/>
    <d v="2025-03-05T00:00:00"/>
    <s v="F"/>
    <x v="0"/>
    <x v="0"/>
    <x v="0"/>
    <x v="8"/>
    <n v="4"/>
    <x v="8"/>
    <x v="2"/>
  </r>
  <r>
    <s v="TX501599"/>
    <x v="8"/>
    <x v="2"/>
    <n v="19.100000000000001"/>
    <n v="57.300000000000004"/>
    <x v="59"/>
    <d v="2025-03-02T00:00:00"/>
    <s v="F"/>
    <x v="4"/>
    <x v="0"/>
    <x v="0"/>
    <x v="8"/>
    <n v="1"/>
    <x v="8"/>
    <x v="2"/>
  </r>
  <r>
    <s v="TX501600"/>
    <x v="5"/>
    <x v="8"/>
    <n v="34"/>
    <n v="272"/>
    <x v="59"/>
    <d v="2025-03-09T00:00:00"/>
    <s v="F"/>
    <x v="4"/>
    <x v="0"/>
    <x v="0"/>
    <x v="8"/>
    <n v="8"/>
    <x v="8"/>
    <x v="2"/>
  </r>
  <r>
    <s v="TX501601"/>
    <x v="12"/>
    <x v="1"/>
    <n v="109.1"/>
    <n v="218.2"/>
    <x v="59"/>
    <d v="2025-03-03T00:00:00"/>
    <s v="M"/>
    <x v="0"/>
    <x v="2"/>
    <x v="0"/>
    <x v="8"/>
    <n v="2"/>
    <x v="8"/>
    <x v="1"/>
  </r>
  <r>
    <s v="TX501602"/>
    <x v="18"/>
    <x v="1"/>
    <n v="64.8"/>
    <n v="129.6"/>
    <x v="59"/>
    <d v="2025-03-03T00:00:00"/>
    <s v="M"/>
    <x v="0"/>
    <x v="2"/>
    <x v="0"/>
    <x v="8"/>
    <n v="2"/>
    <x v="8"/>
    <x v="1"/>
  </r>
  <r>
    <s v="TX501603"/>
    <x v="10"/>
    <x v="1"/>
    <n v="21.1"/>
    <n v="42.2"/>
    <x v="59"/>
    <d v="2025-03-01T00:00:00"/>
    <s v="F"/>
    <x v="1"/>
    <x v="0"/>
    <x v="0"/>
    <x v="11"/>
    <n v="0"/>
    <x v="8"/>
    <x v="2"/>
  </r>
  <r>
    <s v="TX501604"/>
    <x v="0"/>
    <x v="8"/>
    <n v="21.3"/>
    <n v="170.4"/>
    <x v="59"/>
    <d v="2025-03-03T00:00:00"/>
    <s v="M"/>
    <x v="3"/>
    <x v="1"/>
    <x v="0"/>
    <x v="18"/>
    <n v="2"/>
    <x v="8"/>
    <x v="1"/>
  </r>
  <r>
    <s v="TX501605"/>
    <x v="9"/>
    <x v="2"/>
    <n v="24.3"/>
    <n v="72.900000000000006"/>
    <x v="59"/>
    <d v="2025-03-02T00:00:00"/>
    <s v="M"/>
    <x v="1"/>
    <x v="0"/>
    <x v="0"/>
    <x v="19"/>
    <n v="1"/>
    <x v="8"/>
    <x v="1"/>
  </r>
  <r>
    <s v="TX501606"/>
    <x v="8"/>
    <x v="0"/>
    <n v="43.3"/>
    <n v="43.3"/>
    <x v="59"/>
    <d v="2025-03-05T00:00:00"/>
    <s v="M"/>
    <x v="1"/>
    <x v="1"/>
    <x v="0"/>
    <x v="13"/>
    <n v="4"/>
    <x v="8"/>
    <x v="1"/>
  </r>
  <r>
    <s v="TX501607"/>
    <x v="9"/>
    <x v="2"/>
    <n v="41"/>
    <n v="123"/>
    <x v="59"/>
    <d v="2025-03-02T00:00:00"/>
    <s v="F"/>
    <x v="3"/>
    <x v="4"/>
    <x v="0"/>
    <x v="21"/>
    <n v="1"/>
    <x v="8"/>
    <x v="2"/>
  </r>
  <r>
    <s v="TX501608"/>
    <x v="16"/>
    <x v="2"/>
    <n v="54.1"/>
    <n v="162.30000000000001"/>
    <x v="59"/>
    <d v="2025-03-03T00:00:00"/>
    <s v="F"/>
    <x v="4"/>
    <x v="0"/>
    <x v="0"/>
    <x v="21"/>
    <n v="2"/>
    <x v="8"/>
    <x v="2"/>
  </r>
  <r>
    <s v="TX501609"/>
    <x v="11"/>
    <x v="1"/>
    <n v="39"/>
    <n v="78"/>
    <x v="59"/>
    <d v="2025-03-02T00:00:00"/>
    <s v="M"/>
    <x v="1"/>
    <x v="2"/>
    <x v="0"/>
    <x v="1"/>
    <n v="1"/>
    <x v="8"/>
    <x v="1"/>
  </r>
  <r>
    <s v="TX501610"/>
    <x v="8"/>
    <x v="1"/>
    <n v="40.299999999999997"/>
    <n v="80.599999999999994"/>
    <x v="59"/>
    <d v="2025-03-03T00:00:00"/>
    <s v="M"/>
    <x v="3"/>
    <x v="0"/>
    <x v="0"/>
    <x v="27"/>
    <n v="2"/>
    <x v="8"/>
    <x v="1"/>
  </r>
  <r>
    <s v="TX501611"/>
    <x v="8"/>
    <x v="2"/>
    <n v="24.1"/>
    <n v="72.300000000000011"/>
    <x v="59"/>
    <d v="2025-03-02T00:00:00"/>
    <s v="M"/>
    <x v="0"/>
    <x v="2"/>
    <x v="0"/>
    <x v="34"/>
    <n v="1"/>
    <x v="8"/>
    <x v="1"/>
  </r>
  <r>
    <s v="TX501612"/>
    <x v="6"/>
    <x v="9"/>
    <n v="52.3"/>
    <n v="261.5"/>
    <x v="59"/>
    <d v="2025-03-02T00:00:00"/>
    <s v="M"/>
    <x v="2"/>
    <x v="0"/>
    <x v="0"/>
    <x v="3"/>
    <n v="1"/>
    <x v="8"/>
    <x v="1"/>
  </r>
  <r>
    <s v="TX501613"/>
    <x v="12"/>
    <x v="12"/>
    <n v="68.8"/>
    <n v="275.2"/>
    <x v="59"/>
    <d v="2025-03-05T00:00:00"/>
    <s v="F"/>
    <x v="4"/>
    <x v="2"/>
    <x v="0"/>
    <x v="3"/>
    <n v="4"/>
    <x v="8"/>
    <x v="2"/>
  </r>
  <r>
    <s v="TX501614"/>
    <x v="2"/>
    <x v="1"/>
    <n v="128.80000000000001"/>
    <n v="257.60000000000002"/>
    <x v="60"/>
    <d v="2025-03-05T00:00:00"/>
    <s v="F"/>
    <x v="1"/>
    <x v="1"/>
    <x v="0"/>
    <x v="3"/>
    <n v="3"/>
    <x v="9"/>
    <x v="2"/>
  </r>
  <r>
    <s v="TX501615"/>
    <x v="15"/>
    <x v="9"/>
    <n v="48.2"/>
    <n v="241"/>
    <x v="60"/>
    <d v="2025-03-04T00:00:00"/>
    <s v="F"/>
    <x v="3"/>
    <x v="0"/>
    <x v="0"/>
    <x v="3"/>
    <n v="2"/>
    <x v="9"/>
    <x v="2"/>
  </r>
  <r>
    <s v="TX501616"/>
    <x v="10"/>
    <x v="0"/>
    <n v="39.700000000000003"/>
    <n v="39.700000000000003"/>
    <x v="60"/>
    <d v="2025-03-04T00:00:00"/>
    <s v="F"/>
    <x v="0"/>
    <x v="1"/>
    <x v="0"/>
    <x v="3"/>
    <n v="2"/>
    <x v="9"/>
    <x v="2"/>
  </r>
  <r>
    <s v="TX501617"/>
    <x v="9"/>
    <x v="0"/>
    <n v="59.7"/>
    <n v="59.7"/>
    <x v="60"/>
    <d v="2025-03-05T00:00:00"/>
    <s v="F"/>
    <x v="4"/>
    <x v="0"/>
    <x v="0"/>
    <x v="3"/>
    <n v="3"/>
    <x v="9"/>
    <x v="2"/>
  </r>
  <r>
    <s v="TX501618"/>
    <x v="6"/>
    <x v="0"/>
    <n v="48.3"/>
    <n v="48.3"/>
    <x v="60"/>
    <d v="2025-03-16T00:00:00"/>
    <s v="O"/>
    <x v="0"/>
    <x v="2"/>
    <x v="0"/>
    <x v="3"/>
    <n v="14"/>
    <x v="9"/>
    <x v="3"/>
  </r>
  <r>
    <s v="TX501619"/>
    <x v="8"/>
    <x v="2"/>
    <n v="45.5"/>
    <n v="136.5"/>
    <x v="60"/>
    <d v="2025-03-04T00:00:00"/>
    <s v="M"/>
    <x v="2"/>
    <x v="1"/>
    <x v="0"/>
    <x v="3"/>
    <n v="2"/>
    <x v="9"/>
    <x v="1"/>
  </r>
  <r>
    <s v="TX501620"/>
    <x v="9"/>
    <x v="6"/>
    <n v="51"/>
    <n v="1377"/>
    <x v="60"/>
    <d v="2025-03-02T00:00:00"/>
    <s v="F"/>
    <x v="2"/>
    <x v="0"/>
    <x v="0"/>
    <x v="3"/>
    <n v="0"/>
    <x v="9"/>
    <x v="2"/>
  </r>
  <r>
    <s v="TX501621"/>
    <x v="4"/>
    <x v="13"/>
    <n v="20.399999999999999"/>
    <n v="122.39999999999999"/>
    <x v="60"/>
    <d v="2025-03-03T00:00:00"/>
    <s v="M"/>
    <x v="2"/>
    <x v="0"/>
    <x v="0"/>
    <x v="3"/>
    <n v="1"/>
    <x v="9"/>
    <x v="1"/>
  </r>
  <r>
    <s v="TX501622"/>
    <x v="10"/>
    <x v="1"/>
    <n v="30.4"/>
    <n v="60.8"/>
    <x v="60"/>
    <d v="2025-03-04T00:00:00"/>
    <s v="M"/>
    <x v="2"/>
    <x v="0"/>
    <x v="0"/>
    <x v="3"/>
    <n v="2"/>
    <x v="9"/>
    <x v="1"/>
  </r>
  <r>
    <s v="TX501623"/>
    <x v="7"/>
    <x v="1"/>
    <n v="71.5"/>
    <n v="143"/>
    <x v="60"/>
    <d v="2025-03-06T00:00:00"/>
    <s v="F"/>
    <x v="0"/>
    <x v="0"/>
    <x v="0"/>
    <x v="3"/>
    <n v="4"/>
    <x v="9"/>
    <x v="2"/>
  </r>
  <r>
    <s v="TX501624"/>
    <x v="8"/>
    <x v="13"/>
    <n v="18"/>
    <n v="108"/>
    <x v="60"/>
    <d v="2025-03-03T00:00:00"/>
    <s v="O"/>
    <x v="1"/>
    <x v="2"/>
    <x v="0"/>
    <x v="6"/>
    <n v="1"/>
    <x v="9"/>
    <x v="3"/>
  </r>
  <r>
    <s v="TX501625"/>
    <x v="15"/>
    <x v="5"/>
    <n v="45.6"/>
    <n v="501.6"/>
    <x v="60"/>
    <d v="2025-03-03T00:00:00"/>
    <s v="O"/>
    <x v="1"/>
    <x v="1"/>
    <x v="0"/>
    <x v="7"/>
    <n v="1"/>
    <x v="9"/>
    <x v="3"/>
  </r>
  <r>
    <s v="TX501626"/>
    <x v="9"/>
    <x v="0"/>
    <n v="31.8"/>
    <n v="31.8"/>
    <x v="60"/>
    <d v="2025-03-06T00:00:00"/>
    <s v="F"/>
    <x v="0"/>
    <x v="2"/>
    <x v="0"/>
    <x v="7"/>
    <n v="4"/>
    <x v="9"/>
    <x v="2"/>
  </r>
  <r>
    <s v="TX501627"/>
    <x v="8"/>
    <x v="9"/>
    <n v="19.899999999999999"/>
    <n v="99.5"/>
    <x v="60"/>
    <d v="2025-03-03T00:00:00"/>
    <s v="F"/>
    <x v="1"/>
    <x v="0"/>
    <x v="0"/>
    <x v="7"/>
    <n v="1"/>
    <x v="9"/>
    <x v="2"/>
  </r>
  <r>
    <s v="TX501628"/>
    <x v="12"/>
    <x v="11"/>
    <n v="52.1"/>
    <n v="468.90000000000003"/>
    <x v="60"/>
    <d v="2025-03-04T00:00:00"/>
    <s v="M"/>
    <x v="0"/>
    <x v="0"/>
    <x v="0"/>
    <x v="8"/>
    <n v="2"/>
    <x v="9"/>
    <x v="1"/>
  </r>
  <r>
    <s v="TX501629"/>
    <x v="1"/>
    <x v="3"/>
    <n v="45.9"/>
    <n v="321.3"/>
    <x v="60"/>
    <d v="2025-03-03T00:00:00"/>
    <s v="M"/>
    <x v="0"/>
    <x v="1"/>
    <x v="0"/>
    <x v="8"/>
    <n v="1"/>
    <x v="9"/>
    <x v="1"/>
  </r>
  <r>
    <s v="TX501630"/>
    <x v="1"/>
    <x v="7"/>
    <n v="115.9"/>
    <n v="1159"/>
    <x v="60"/>
    <d v="2025-03-05T00:00:00"/>
    <s v="F"/>
    <x v="1"/>
    <x v="0"/>
    <x v="0"/>
    <x v="8"/>
    <n v="3"/>
    <x v="9"/>
    <x v="2"/>
  </r>
  <r>
    <s v="TX501631"/>
    <x v="6"/>
    <x v="11"/>
    <n v="86"/>
    <n v="774"/>
    <x v="60"/>
    <d v="2025-03-07T00:00:00"/>
    <s v="F"/>
    <x v="0"/>
    <x v="1"/>
    <x v="0"/>
    <x v="8"/>
    <n v="5"/>
    <x v="9"/>
    <x v="2"/>
  </r>
  <r>
    <s v="TX501632"/>
    <x v="7"/>
    <x v="3"/>
    <n v="73.599999999999994"/>
    <n v="515.19999999999993"/>
    <x v="60"/>
    <d v="2025-03-04T00:00:00"/>
    <s v="F"/>
    <x v="0"/>
    <x v="0"/>
    <x v="0"/>
    <x v="17"/>
    <n v="2"/>
    <x v="9"/>
    <x v="2"/>
  </r>
  <r>
    <s v="TX501633"/>
    <x v="10"/>
    <x v="2"/>
    <n v="26.7"/>
    <n v="80.099999999999994"/>
    <x v="60"/>
    <d v="2025-03-06T00:00:00"/>
    <s v="F"/>
    <x v="0"/>
    <x v="0"/>
    <x v="0"/>
    <x v="11"/>
    <n v="4"/>
    <x v="9"/>
    <x v="2"/>
  </r>
  <r>
    <s v="TX501634"/>
    <x v="8"/>
    <x v="3"/>
    <n v="46.6"/>
    <n v="326.2"/>
    <x v="60"/>
    <d v="2025-03-04T00:00:00"/>
    <s v=""/>
    <x v="3"/>
    <x v="0"/>
    <x v="0"/>
    <x v="11"/>
    <n v="2"/>
    <x v="9"/>
    <x v="0"/>
  </r>
  <r>
    <s v="TX501635"/>
    <x v="3"/>
    <x v="2"/>
    <n v="84.6"/>
    <n v="253.79999999999998"/>
    <x v="60"/>
    <d v="2025-03-04T00:00:00"/>
    <s v="M"/>
    <x v="4"/>
    <x v="0"/>
    <x v="0"/>
    <x v="11"/>
    <n v="2"/>
    <x v="9"/>
    <x v="1"/>
  </r>
  <r>
    <s v="TX501636"/>
    <x v="7"/>
    <x v="21"/>
    <n v="41.5"/>
    <n v="581"/>
    <x v="60"/>
    <d v="2025-03-16T00:00:00"/>
    <s v="M"/>
    <x v="1"/>
    <x v="0"/>
    <x v="0"/>
    <x v="53"/>
    <n v="14"/>
    <x v="9"/>
    <x v="1"/>
  </r>
  <r>
    <s v="TX501637"/>
    <x v="8"/>
    <x v="0"/>
    <n v="32.799999999999997"/>
    <n v="32.799999999999997"/>
    <x v="60"/>
    <d v="2025-03-05T00:00:00"/>
    <s v="M"/>
    <x v="0"/>
    <x v="2"/>
    <x v="0"/>
    <x v="30"/>
    <n v="3"/>
    <x v="9"/>
    <x v="1"/>
  </r>
  <r>
    <s v="TX501638"/>
    <x v="4"/>
    <x v="3"/>
    <n v="46.7"/>
    <n v="326.90000000000003"/>
    <x v="60"/>
    <d v="2025-03-04T00:00:00"/>
    <s v="O"/>
    <x v="0"/>
    <x v="2"/>
    <x v="0"/>
    <x v="18"/>
    <n v="2"/>
    <x v="9"/>
    <x v="3"/>
  </r>
  <r>
    <s v="TX501639"/>
    <x v="15"/>
    <x v="3"/>
    <n v="21"/>
    <n v="147"/>
    <x v="60"/>
    <d v="2025-03-05T00:00:00"/>
    <s v="M"/>
    <x v="2"/>
    <x v="1"/>
    <x v="0"/>
    <x v="21"/>
    <n v="3"/>
    <x v="9"/>
    <x v="1"/>
  </r>
  <r>
    <s v="TX501640"/>
    <x v="5"/>
    <x v="3"/>
    <n v="29.4"/>
    <n v="205.79999999999998"/>
    <x v="60"/>
    <d v="2025-03-02T00:00:00"/>
    <s v="M"/>
    <x v="3"/>
    <x v="2"/>
    <x v="0"/>
    <x v="21"/>
    <n v="0"/>
    <x v="9"/>
    <x v="1"/>
  </r>
  <r>
    <s v="TX501641"/>
    <x v="15"/>
    <x v="1"/>
    <n v="32.299999999999997"/>
    <n v="64.599999999999994"/>
    <x v="60"/>
    <d v="2025-03-03T00:00:00"/>
    <s v="M"/>
    <x v="0"/>
    <x v="2"/>
    <x v="0"/>
    <x v="21"/>
    <n v="1"/>
    <x v="9"/>
    <x v="1"/>
  </r>
  <r>
    <s v="TX501642"/>
    <x v="6"/>
    <x v="0"/>
    <n v="42.2"/>
    <n v="42.2"/>
    <x v="61"/>
    <d v="2025-03-05T00:00:00"/>
    <s v="F"/>
    <x v="0"/>
    <x v="2"/>
    <x v="0"/>
    <x v="21"/>
    <n v="2"/>
    <x v="9"/>
    <x v="2"/>
  </r>
  <r>
    <s v="TX501643"/>
    <x v="6"/>
    <x v="0"/>
    <n v="53.7"/>
    <n v="53.7"/>
    <x v="61"/>
    <d v="2025-03-05T00:00:00"/>
    <s v="M"/>
    <x v="1"/>
    <x v="1"/>
    <x v="0"/>
    <x v="1"/>
    <n v="2"/>
    <x v="9"/>
    <x v="1"/>
  </r>
  <r>
    <s v="TX501644"/>
    <x v="2"/>
    <x v="1"/>
    <n v="123.9"/>
    <n v="247.8"/>
    <x v="61"/>
    <d v="2025-03-06T00:00:00"/>
    <s v="M"/>
    <x v="2"/>
    <x v="0"/>
    <x v="0"/>
    <x v="1"/>
    <n v="3"/>
    <x v="9"/>
    <x v="1"/>
  </r>
  <r>
    <s v="TX501645"/>
    <x v="4"/>
    <x v="2"/>
    <n v="35.9"/>
    <n v="107.69999999999999"/>
    <x v="61"/>
    <d v="2025-03-05T00:00:00"/>
    <s v="M"/>
    <x v="2"/>
    <x v="0"/>
    <x v="0"/>
    <x v="22"/>
    <n v="2"/>
    <x v="9"/>
    <x v="1"/>
  </r>
  <r>
    <s v="TX501646"/>
    <x v="4"/>
    <x v="1"/>
    <n v="23.6"/>
    <n v="47.2"/>
    <x v="61"/>
    <d v="2025-03-06T00:00:00"/>
    <s v="M"/>
    <x v="0"/>
    <x v="2"/>
    <x v="0"/>
    <x v="3"/>
    <n v="3"/>
    <x v="9"/>
    <x v="1"/>
  </r>
  <r>
    <s v="TX501647"/>
    <x v="15"/>
    <x v="36"/>
    <n v="45.7"/>
    <n v="1599.5"/>
    <x v="61"/>
    <d v="2025-03-04T00:00:00"/>
    <s v="M"/>
    <x v="0"/>
    <x v="1"/>
    <x v="0"/>
    <x v="3"/>
    <n v="1"/>
    <x v="9"/>
    <x v="1"/>
  </r>
  <r>
    <s v="TX501648"/>
    <x v="6"/>
    <x v="5"/>
    <n v="118.3"/>
    <n v="1301.3"/>
    <x v="61"/>
    <d v="2025-03-05T00:00:00"/>
    <s v="M"/>
    <x v="4"/>
    <x v="2"/>
    <x v="0"/>
    <x v="3"/>
    <n v="2"/>
    <x v="9"/>
    <x v="1"/>
  </r>
  <r>
    <s v="TX501649"/>
    <x v="19"/>
    <x v="0"/>
    <n v="36"/>
    <n v="36"/>
    <x v="61"/>
    <d v="2025-03-04T00:00:00"/>
    <s v="F"/>
    <x v="0"/>
    <x v="1"/>
    <x v="0"/>
    <x v="3"/>
    <n v="1"/>
    <x v="9"/>
    <x v="2"/>
  </r>
  <r>
    <s v="TX501650"/>
    <x v="8"/>
    <x v="1"/>
    <n v="37.1"/>
    <n v="74.2"/>
    <x v="61"/>
    <d v="2025-03-06T00:00:00"/>
    <s v="F"/>
    <x v="2"/>
    <x v="0"/>
    <x v="0"/>
    <x v="3"/>
    <n v="3"/>
    <x v="9"/>
    <x v="2"/>
  </r>
  <r>
    <s v="TX501651"/>
    <x v="18"/>
    <x v="2"/>
    <n v="45.1"/>
    <n v="135.30000000000001"/>
    <x v="61"/>
    <d v="2025-03-05T00:00:00"/>
    <s v="F"/>
    <x v="1"/>
    <x v="2"/>
    <x v="0"/>
    <x v="3"/>
    <n v="2"/>
    <x v="9"/>
    <x v="2"/>
  </r>
  <r>
    <s v="TX501652"/>
    <x v="5"/>
    <x v="27"/>
    <n v="37.9"/>
    <n v="606.4"/>
    <x v="61"/>
    <d v="2025-03-04T00:00:00"/>
    <s v="F"/>
    <x v="3"/>
    <x v="2"/>
    <x v="0"/>
    <x v="3"/>
    <n v="1"/>
    <x v="9"/>
    <x v="2"/>
  </r>
  <r>
    <s v="TX501653"/>
    <x v="2"/>
    <x v="1"/>
    <n v="121.6"/>
    <n v="243.2"/>
    <x v="61"/>
    <d v="2025-03-06T00:00:00"/>
    <s v="M"/>
    <x v="3"/>
    <x v="2"/>
    <x v="0"/>
    <x v="3"/>
    <n v="3"/>
    <x v="9"/>
    <x v="1"/>
  </r>
  <r>
    <s v="TX501654"/>
    <x v="5"/>
    <x v="3"/>
    <n v="38.200000000000003"/>
    <n v="267.40000000000003"/>
    <x v="61"/>
    <d v="2025-03-06T00:00:00"/>
    <s v="F"/>
    <x v="0"/>
    <x v="0"/>
    <x v="0"/>
    <x v="3"/>
    <n v="3"/>
    <x v="9"/>
    <x v="2"/>
  </r>
  <r>
    <s v="TX501655"/>
    <x v="17"/>
    <x v="1"/>
    <n v="37.200000000000003"/>
    <n v="74.400000000000006"/>
    <x v="61"/>
    <d v="2025-03-06T00:00:00"/>
    <s v="M"/>
    <x v="4"/>
    <x v="0"/>
    <x v="0"/>
    <x v="3"/>
    <n v="3"/>
    <x v="9"/>
    <x v="1"/>
  </r>
  <r>
    <s v="TX501656"/>
    <x v="2"/>
    <x v="12"/>
    <n v="115.7"/>
    <n v="462.8"/>
    <x v="61"/>
    <d v="2025-03-06T00:00:00"/>
    <s v="F"/>
    <x v="1"/>
    <x v="0"/>
    <x v="0"/>
    <x v="3"/>
    <n v="3"/>
    <x v="9"/>
    <x v="2"/>
  </r>
  <r>
    <s v="TX501657"/>
    <x v="2"/>
    <x v="13"/>
    <n v="99.4"/>
    <n v="596.40000000000009"/>
    <x v="61"/>
    <d v="2025-03-06T00:00:00"/>
    <s v="M"/>
    <x v="0"/>
    <x v="2"/>
    <x v="0"/>
    <x v="3"/>
    <n v="3"/>
    <x v="9"/>
    <x v="1"/>
  </r>
  <r>
    <s v="TX501658"/>
    <x v="11"/>
    <x v="0"/>
    <n v="38.700000000000003"/>
    <n v="38.700000000000003"/>
    <x v="61"/>
    <d v="2025-03-04T00:00:00"/>
    <s v="F"/>
    <x v="2"/>
    <x v="0"/>
    <x v="0"/>
    <x v="25"/>
    <n v="1"/>
    <x v="9"/>
    <x v="2"/>
  </r>
  <r>
    <s v="TX501659"/>
    <x v="4"/>
    <x v="1"/>
    <n v="35.5"/>
    <n v="71"/>
    <x v="61"/>
    <d v="2025-03-06T00:00:00"/>
    <s v="M"/>
    <x v="0"/>
    <x v="2"/>
    <x v="0"/>
    <x v="25"/>
    <n v="3"/>
    <x v="9"/>
    <x v="1"/>
  </r>
  <r>
    <s v="TX501660"/>
    <x v="2"/>
    <x v="12"/>
    <n v="93.3"/>
    <n v="373.2"/>
    <x v="61"/>
    <d v="2025-03-06T00:00:00"/>
    <s v="F"/>
    <x v="0"/>
    <x v="2"/>
    <x v="0"/>
    <x v="6"/>
    <n v="3"/>
    <x v="9"/>
    <x v="2"/>
  </r>
  <r>
    <s v="TX501661"/>
    <x v="16"/>
    <x v="0"/>
    <n v="31.4"/>
    <n v="31.4"/>
    <x v="61"/>
    <d v="2025-03-08T00:00:00"/>
    <s v="F"/>
    <x v="2"/>
    <x v="2"/>
    <x v="0"/>
    <x v="6"/>
    <n v="5"/>
    <x v="9"/>
    <x v="2"/>
  </r>
  <r>
    <s v="TX501662"/>
    <x v="1"/>
    <x v="0"/>
    <n v="85.9"/>
    <n v="85.9"/>
    <x v="61"/>
    <d v="2025-03-06T00:00:00"/>
    <s v="M"/>
    <x v="1"/>
    <x v="0"/>
    <x v="0"/>
    <x v="6"/>
    <n v="3"/>
    <x v="9"/>
    <x v="1"/>
  </r>
  <r>
    <s v="TX501663"/>
    <x v="6"/>
    <x v="8"/>
    <n v="41.7"/>
    <n v="333.6"/>
    <x v="61"/>
    <d v="2025-03-11T00:00:00"/>
    <s v="M"/>
    <x v="0"/>
    <x v="2"/>
    <x v="0"/>
    <x v="7"/>
    <n v="8"/>
    <x v="9"/>
    <x v="1"/>
  </r>
  <r>
    <s v="TX501664"/>
    <x v="8"/>
    <x v="12"/>
    <n v="31.5"/>
    <n v="126"/>
    <x v="61"/>
    <d v="2025-03-04T00:00:00"/>
    <s v="F"/>
    <x v="0"/>
    <x v="0"/>
    <x v="0"/>
    <x v="7"/>
    <n v="1"/>
    <x v="9"/>
    <x v="2"/>
  </r>
  <r>
    <s v="TX501665"/>
    <x v="8"/>
    <x v="1"/>
    <n v="36.299999999999997"/>
    <n v="72.599999999999994"/>
    <x v="61"/>
    <d v="2025-03-04T00:00:00"/>
    <s v="F"/>
    <x v="0"/>
    <x v="4"/>
    <x v="0"/>
    <x v="8"/>
    <n v="1"/>
    <x v="9"/>
    <x v="2"/>
  </r>
  <r>
    <s v="TX501666"/>
    <x v="8"/>
    <x v="2"/>
    <n v="33.4"/>
    <n v="100.19999999999999"/>
    <x v="61"/>
    <d v="2025-03-04T00:00:00"/>
    <s v="F"/>
    <x v="3"/>
    <x v="0"/>
    <x v="0"/>
    <x v="17"/>
    <n v="1"/>
    <x v="9"/>
    <x v="2"/>
  </r>
  <r>
    <s v="TX501667"/>
    <x v="2"/>
    <x v="2"/>
    <n v="65.2"/>
    <n v="195.60000000000002"/>
    <x v="61"/>
    <d v="2025-03-04T00:00:00"/>
    <s v="F"/>
    <x v="2"/>
    <x v="2"/>
    <x v="0"/>
    <x v="26"/>
    <n v="1"/>
    <x v="9"/>
    <x v="2"/>
  </r>
  <r>
    <s v="TX501668"/>
    <x v="8"/>
    <x v="11"/>
    <n v="65.5"/>
    <n v="589.5"/>
    <x v="61"/>
    <d v="2025-03-06T00:00:00"/>
    <s v="F"/>
    <x v="0"/>
    <x v="2"/>
    <x v="0"/>
    <x v="9"/>
    <n v="3"/>
    <x v="9"/>
    <x v="2"/>
  </r>
  <r>
    <s v="TX501669"/>
    <x v="6"/>
    <x v="2"/>
    <n v="52.8"/>
    <n v="158.39999999999998"/>
    <x v="61"/>
    <d v="2025-03-06T00:00:00"/>
    <s v="M"/>
    <x v="2"/>
    <x v="0"/>
    <x v="0"/>
    <x v="9"/>
    <n v="3"/>
    <x v="9"/>
    <x v="1"/>
  </r>
  <r>
    <s v="TX501670"/>
    <x v="9"/>
    <x v="9"/>
    <n v="24"/>
    <n v="120"/>
    <x v="61"/>
    <d v="2025-03-07T00:00:00"/>
    <s v="M"/>
    <x v="0"/>
    <x v="1"/>
    <x v="0"/>
    <x v="11"/>
    <n v="4"/>
    <x v="9"/>
    <x v="1"/>
  </r>
  <r>
    <s v="TX501671"/>
    <x v="3"/>
    <x v="2"/>
    <n v="51.2"/>
    <n v="153.60000000000002"/>
    <x v="61"/>
    <d v="2025-03-04T00:00:00"/>
    <s v="F"/>
    <x v="0"/>
    <x v="0"/>
    <x v="0"/>
    <x v="32"/>
    <n v="1"/>
    <x v="9"/>
    <x v="2"/>
  </r>
  <r>
    <s v="TX501672"/>
    <x v="5"/>
    <x v="2"/>
    <n v="28.3"/>
    <n v="84.9"/>
    <x v="61"/>
    <d v="2025-03-05T00:00:00"/>
    <s v="M"/>
    <x v="4"/>
    <x v="0"/>
    <x v="0"/>
    <x v="19"/>
    <n v="2"/>
    <x v="9"/>
    <x v="1"/>
  </r>
  <r>
    <s v="TX501673"/>
    <x v="6"/>
    <x v="2"/>
    <n v="42.3"/>
    <n v="126.89999999999999"/>
    <x v="61"/>
    <d v="2025-03-03T00:00:00"/>
    <s v="F"/>
    <x v="2"/>
    <x v="1"/>
    <x v="0"/>
    <x v="19"/>
    <n v="0"/>
    <x v="9"/>
    <x v="2"/>
  </r>
  <r>
    <s v="TX501674"/>
    <x v="2"/>
    <x v="8"/>
    <n v="163.30000000000001"/>
    <n v="1306.4000000000001"/>
    <x v="62"/>
    <d v="2025-03-05T00:00:00"/>
    <s v="F"/>
    <x v="1"/>
    <x v="0"/>
    <x v="0"/>
    <x v="13"/>
    <n v="1"/>
    <x v="9"/>
    <x v="2"/>
  </r>
  <r>
    <s v="TX501675"/>
    <x v="6"/>
    <x v="3"/>
    <n v="47.3"/>
    <n v="331.09999999999997"/>
    <x v="62"/>
    <d v="2025-03-07T00:00:00"/>
    <s v="F"/>
    <x v="4"/>
    <x v="1"/>
    <x v="0"/>
    <x v="21"/>
    <n v="3"/>
    <x v="9"/>
    <x v="2"/>
  </r>
  <r>
    <s v="TX501676"/>
    <x v="8"/>
    <x v="27"/>
    <n v="27.3"/>
    <n v="436.8"/>
    <x v="62"/>
    <d v="2025-03-05T00:00:00"/>
    <s v="F"/>
    <x v="2"/>
    <x v="0"/>
    <x v="0"/>
    <x v="21"/>
    <n v="1"/>
    <x v="9"/>
    <x v="2"/>
  </r>
  <r>
    <s v="TX501677"/>
    <x v="10"/>
    <x v="13"/>
    <n v="34.9"/>
    <n v="209.39999999999998"/>
    <x v="62"/>
    <d v="2025-03-15T00:00:00"/>
    <s v="F"/>
    <x v="0"/>
    <x v="0"/>
    <x v="0"/>
    <x v="21"/>
    <n v="11"/>
    <x v="9"/>
    <x v="2"/>
  </r>
  <r>
    <s v="TX501678"/>
    <x v="6"/>
    <x v="1"/>
    <n v="53.9"/>
    <n v="107.8"/>
    <x v="62"/>
    <d v="2025-03-07T00:00:00"/>
    <s v="O"/>
    <x v="0"/>
    <x v="4"/>
    <x v="0"/>
    <x v="1"/>
    <n v="3"/>
    <x v="9"/>
    <x v="3"/>
  </r>
  <r>
    <s v="TX501679"/>
    <x v="2"/>
    <x v="1"/>
    <n v="87.2"/>
    <n v="174.4"/>
    <x v="62"/>
    <d v="2025-03-05T00:00:00"/>
    <s v="F"/>
    <x v="0"/>
    <x v="1"/>
    <x v="0"/>
    <x v="1"/>
    <n v="1"/>
    <x v="9"/>
    <x v="2"/>
  </r>
  <r>
    <s v="TX501680"/>
    <x v="15"/>
    <x v="0"/>
    <n v="58.8"/>
    <n v="58.8"/>
    <x v="62"/>
    <d v="2025-03-06T00:00:00"/>
    <s v="F"/>
    <x v="2"/>
    <x v="0"/>
    <x v="0"/>
    <x v="44"/>
    <n v="2"/>
    <x v="9"/>
    <x v="2"/>
  </r>
  <r>
    <s v="TX501681"/>
    <x v="2"/>
    <x v="3"/>
    <n v="125.5"/>
    <n v="878.5"/>
    <x v="62"/>
    <d v="2025-03-05T00:00:00"/>
    <s v="M"/>
    <x v="2"/>
    <x v="4"/>
    <x v="0"/>
    <x v="22"/>
    <n v="1"/>
    <x v="9"/>
    <x v="1"/>
  </r>
  <r>
    <s v="TX501682"/>
    <x v="1"/>
    <x v="12"/>
    <n v="124.6"/>
    <n v="498.4"/>
    <x v="62"/>
    <d v="2025-03-06T00:00:00"/>
    <s v="F"/>
    <x v="0"/>
    <x v="1"/>
    <x v="0"/>
    <x v="22"/>
    <n v="2"/>
    <x v="9"/>
    <x v="2"/>
  </r>
  <r>
    <s v="TX501683"/>
    <x v="1"/>
    <x v="3"/>
    <n v="39.9"/>
    <n v="279.3"/>
    <x v="62"/>
    <d v="2025-03-05T00:00:00"/>
    <s v="M"/>
    <x v="2"/>
    <x v="1"/>
    <x v="0"/>
    <x v="3"/>
    <n v="1"/>
    <x v="9"/>
    <x v="1"/>
  </r>
  <r>
    <s v="TX501684"/>
    <x v="6"/>
    <x v="0"/>
    <n v="94.6"/>
    <n v="94.6"/>
    <x v="62"/>
    <d v="2025-03-18T00:00:00"/>
    <s v="F"/>
    <x v="0"/>
    <x v="1"/>
    <x v="0"/>
    <x v="3"/>
    <n v="14"/>
    <x v="9"/>
    <x v="2"/>
  </r>
  <r>
    <s v="TX501685"/>
    <x v="2"/>
    <x v="1"/>
    <n v="149.6"/>
    <n v="299.2"/>
    <x v="62"/>
    <d v="2025-03-05T00:00:00"/>
    <s v="F"/>
    <x v="0"/>
    <x v="0"/>
    <x v="0"/>
    <x v="3"/>
    <n v="1"/>
    <x v="9"/>
    <x v="2"/>
  </r>
  <r>
    <s v="TX501686"/>
    <x v="8"/>
    <x v="0"/>
    <n v="52.2"/>
    <n v="52.2"/>
    <x v="62"/>
    <d v="2025-03-05T00:00:00"/>
    <s v=""/>
    <x v="1"/>
    <x v="0"/>
    <x v="0"/>
    <x v="3"/>
    <n v="1"/>
    <x v="9"/>
    <x v="0"/>
  </r>
  <r>
    <s v="TX501687"/>
    <x v="6"/>
    <x v="1"/>
    <n v="96.5"/>
    <n v="193"/>
    <x v="62"/>
    <d v="2025-03-05T00:00:00"/>
    <s v="F"/>
    <x v="1"/>
    <x v="1"/>
    <x v="0"/>
    <x v="3"/>
    <n v="1"/>
    <x v="9"/>
    <x v="2"/>
  </r>
  <r>
    <s v="TX501688"/>
    <x v="8"/>
    <x v="1"/>
    <n v="79.8"/>
    <n v="159.6"/>
    <x v="62"/>
    <d v="2025-03-06T00:00:00"/>
    <s v="F"/>
    <x v="0"/>
    <x v="1"/>
    <x v="0"/>
    <x v="3"/>
    <n v="2"/>
    <x v="9"/>
    <x v="2"/>
  </r>
  <r>
    <s v="TX501689"/>
    <x v="8"/>
    <x v="2"/>
    <n v="35.6"/>
    <n v="106.80000000000001"/>
    <x v="62"/>
    <d v="2025-03-05T00:00:00"/>
    <s v="F"/>
    <x v="2"/>
    <x v="0"/>
    <x v="0"/>
    <x v="3"/>
    <n v="1"/>
    <x v="9"/>
    <x v="2"/>
  </r>
  <r>
    <s v="TX501690"/>
    <x v="16"/>
    <x v="0"/>
    <n v="50.2"/>
    <n v="50.2"/>
    <x v="62"/>
    <d v="2025-03-05T00:00:00"/>
    <s v="F"/>
    <x v="1"/>
    <x v="2"/>
    <x v="0"/>
    <x v="3"/>
    <n v="1"/>
    <x v="9"/>
    <x v="2"/>
  </r>
  <r>
    <s v="TX501691"/>
    <x v="1"/>
    <x v="2"/>
    <n v="55.3"/>
    <n v="165.89999999999998"/>
    <x v="62"/>
    <d v="2025-03-07T00:00:00"/>
    <s v="F"/>
    <x v="0"/>
    <x v="4"/>
    <x v="0"/>
    <x v="40"/>
    <n v="3"/>
    <x v="9"/>
    <x v="2"/>
  </r>
  <r>
    <s v="TX501692"/>
    <x v="6"/>
    <x v="3"/>
    <n v="104.5"/>
    <n v="731.5"/>
    <x v="62"/>
    <d v="2025-03-08T00:00:00"/>
    <s v="F"/>
    <x v="1"/>
    <x v="0"/>
    <x v="0"/>
    <x v="7"/>
    <n v="4"/>
    <x v="9"/>
    <x v="2"/>
  </r>
  <r>
    <s v="TX501693"/>
    <x v="6"/>
    <x v="12"/>
    <n v="66.5"/>
    <n v="266"/>
    <x v="62"/>
    <d v="2025-03-06T00:00:00"/>
    <s v="M"/>
    <x v="1"/>
    <x v="0"/>
    <x v="0"/>
    <x v="7"/>
    <n v="2"/>
    <x v="9"/>
    <x v="1"/>
  </r>
  <r>
    <s v="TX501694"/>
    <x v="10"/>
    <x v="8"/>
    <n v="38.299999999999997"/>
    <n v="306.39999999999998"/>
    <x v="62"/>
    <d v="2025-03-05T00:00:00"/>
    <s v="F"/>
    <x v="0"/>
    <x v="0"/>
    <x v="0"/>
    <x v="7"/>
    <n v="1"/>
    <x v="9"/>
    <x v="2"/>
  </r>
  <r>
    <s v="TX501695"/>
    <x v="6"/>
    <x v="2"/>
    <n v="63.8"/>
    <n v="191.39999999999998"/>
    <x v="62"/>
    <d v="2025-03-07T00:00:00"/>
    <s v="F"/>
    <x v="1"/>
    <x v="0"/>
    <x v="0"/>
    <x v="8"/>
    <n v="3"/>
    <x v="9"/>
    <x v="2"/>
  </r>
  <r>
    <s v="TX501696"/>
    <x v="15"/>
    <x v="0"/>
    <n v="21.4"/>
    <n v="21.4"/>
    <x v="62"/>
    <d v="2025-03-04T00:00:00"/>
    <s v="M"/>
    <x v="4"/>
    <x v="0"/>
    <x v="0"/>
    <x v="8"/>
    <n v="0"/>
    <x v="9"/>
    <x v="1"/>
  </r>
  <r>
    <s v="TX501697"/>
    <x v="8"/>
    <x v="12"/>
    <n v="44.1"/>
    <n v="176.4"/>
    <x v="62"/>
    <d v="2025-03-06T00:00:00"/>
    <s v="F"/>
    <x v="2"/>
    <x v="0"/>
    <x v="0"/>
    <x v="8"/>
    <n v="2"/>
    <x v="9"/>
    <x v="2"/>
  </r>
  <r>
    <s v="TX501698"/>
    <x v="5"/>
    <x v="8"/>
    <n v="57.6"/>
    <n v="460.8"/>
    <x v="62"/>
    <d v="2025-03-06T00:00:00"/>
    <s v="M"/>
    <x v="1"/>
    <x v="2"/>
    <x v="0"/>
    <x v="8"/>
    <n v="2"/>
    <x v="9"/>
    <x v="1"/>
  </r>
  <r>
    <s v="TX501699"/>
    <x v="9"/>
    <x v="1"/>
    <n v="20.3"/>
    <n v="40.6"/>
    <x v="62"/>
    <d v="2025-03-10T00:00:00"/>
    <s v="F"/>
    <x v="3"/>
    <x v="0"/>
    <x v="0"/>
    <x v="8"/>
    <n v="6"/>
    <x v="9"/>
    <x v="2"/>
  </r>
  <r>
    <s v="TX501700"/>
    <x v="8"/>
    <x v="0"/>
    <n v="22.9"/>
    <n v="22.9"/>
    <x v="62"/>
    <d v="2025-03-06T00:00:00"/>
    <s v="F"/>
    <x v="2"/>
    <x v="2"/>
    <x v="0"/>
    <x v="8"/>
    <n v="2"/>
    <x v="9"/>
    <x v="2"/>
  </r>
  <r>
    <s v="TX501701"/>
    <x v="6"/>
    <x v="12"/>
    <n v="105.9"/>
    <n v="423.6"/>
    <x v="62"/>
    <d v="2025-03-05T00:00:00"/>
    <s v="F"/>
    <x v="1"/>
    <x v="2"/>
    <x v="0"/>
    <x v="17"/>
    <n v="1"/>
    <x v="9"/>
    <x v="2"/>
  </r>
  <r>
    <s v="TX501702"/>
    <x v="1"/>
    <x v="11"/>
    <n v="37.4"/>
    <n v="336.59999999999997"/>
    <x v="62"/>
    <d v="2025-03-08T00:00:00"/>
    <s v="M"/>
    <x v="1"/>
    <x v="0"/>
    <x v="0"/>
    <x v="11"/>
    <n v="4"/>
    <x v="9"/>
    <x v="1"/>
  </r>
  <r>
    <s v="TX501703"/>
    <x v="18"/>
    <x v="1"/>
    <n v="79"/>
    <n v="158"/>
    <x v="62"/>
    <d v="2025-03-05T00:00:00"/>
    <s v="M"/>
    <x v="2"/>
    <x v="0"/>
    <x v="0"/>
    <x v="28"/>
    <n v="1"/>
    <x v="9"/>
    <x v="1"/>
  </r>
  <r>
    <s v="TX501704"/>
    <x v="0"/>
    <x v="2"/>
    <n v="19.3"/>
    <n v="57.900000000000006"/>
    <x v="62"/>
    <d v="2025-03-05T00:00:00"/>
    <s v="F"/>
    <x v="4"/>
    <x v="0"/>
    <x v="0"/>
    <x v="21"/>
    <n v="1"/>
    <x v="9"/>
    <x v="2"/>
  </r>
  <r>
    <s v="TX501705"/>
    <x v="0"/>
    <x v="0"/>
    <n v="24"/>
    <n v="24"/>
    <x v="62"/>
    <d v="2025-03-05T00:00:00"/>
    <s v="F"/>
    <x v="1"/>
    <x v="0"/>
    <x v="0"/>
    <x v="1"/>
    <n v="1"/>
    <x v="9"/>
    <x v="2"/>
  </r>
  <r>
    <s v="TX501706"/>
    <x v="6"/>
    <x v="9"/>
    <n v="71.3"/>
    <n v="356.5"/>
    <x v="62"/>
    <d v="2025-03-07T00:00:00"/>
    <s v="F"/>
    <x v="2"/>
    <x v="0"/>
    <x v="0"/>
    <x v="2"/>
    <n v="3"/>
    <x v="9"/>
    <x v="2"/>
  </r>
  <r>
    <s v="TX501707"/>
    <x v="5"/>
    <x v="1"/>
    <n v="166.2"/>
    <n v="332.4"/>
    <x v="62"/>
    <d v="2025-03-05T00:00:00"/>
    <s v="M"/>
    <x v="0"/>
    <x v="2"/>
    <x v="0"/>
    <x v="50"/>
    <n v="1"/>
    <x v="9"/>
    <x v="1"/>
  </r>
  <r>
    <s v="TX501708"/>
    <x v="6"/>
    <x v="0"/>
    <n v="81"/>
    <n v="81"/>
    <x v="62"/>
    <d v="2025-03-05T00:00:00"/>
    <s v="F"/>
    <x v="2"/>
    <x v="1"/>
    <x v="0"/>
    <x v="3"/>
    <n v="1"/>
    <x v="9"/>
    <x v="2"/>
  </r>
  <r>
    <s v="TX501709"/>
    <x v="10"/>
    <x v="13"/>
    <n v="38.5"/>
    <n v="231"/>
    <x v="62"/>
    <d v="2025-03-08T00:00:00"/>
    <s v="F"/>
    <x v="0"/>
    <x v="0"/>
    <x v="0"/>
    <x v="3"/>
    <n v="4"/>
    <x v="9"/>
    <x v="2"/>
  </r>
  <r>
    <s v="TX501710"/>
    <x v="6"/>
    <x v="0"/>
    <n v="86.1"/>
    <n v="86.1"/>
    <x v="62"/>
    <d v="2025-03-06T00:00:00"/>
    <s v="F"/>
    <x v="3"/>
    <x v="0"/>
    <x v="0"/>
    <x v="3"/>
    <n v="2"/>
    <x v="9"/>
    <x v="2"/>
  </r>
  <r>
    <s v="TX501711"/>
    <x v="2"/>
    <x v="9"/>
    <n v="51"/>
    <n v="255"/>
    <x v="62"/>
    <d v="2025-03-05T00:00:00"/>
    <s v="M"/>
    <x v="0"/>
    <x v="1"/>
    <x v="0"/>
    <x v="3"/>
    <n v="1"/>
    <x v="9"/>
    <x v="1"/>
  </r>
  <r>
    <s v="TX501712"/>
    <x v="3"/>
    <x v="9"/>
    <n v="115.4"/>
    <n v="577"/>
    <x v="62"/>
    <d v="2025-03-05T00:00:00"/>
    <s v="M"/>
    <x v="0"/>
    <x v="0"/>
    <x v="0"/>
    <x v="3"/>
    <n v="1"/>
    <x v="9"/>
    <x v="1"/>
  </r>
  <r>
    <s v="TX501713"/>
    <x v="6"/>
    <x v="12"/>
    <n v="176.5"/>
    <n v="706"/>
    <x v="62"/>
    <d v="2025-03-05T00:00:00"/>
    <s v="F"/>
    <x v="2"/>
    <x v="2"/>
    <x v="0"/>
    <x v="3"/>
    <n v="1"/>
    <x v="9"/>
    <x v="2"/>
  </r>
  <r>
    <s v="TX501714"/>
    <x v="7"/>
    <x v="2"/>
    <n v="48.9"/>
    <n v="146.69999999999999"/>
    <x v="62"/>
    <d v="2025-03-05T00:00:00"/>
    <s v="M"/>
    <x v="4"/>
    <x v="0"/>
    <x v="0"/>
    <x v="3"/>
    <n v="1"/>
    <x v="9"/>
    <x v="1"/>
  </r>
  <r>
    <s v="TX501715"/>
    <x v="8"/>
    <x v="2"/>
    <n v="18.100000000000001"/>
    <n v="54.300000000000004"/>
    <x v="62"/>
    <d v="2025-03-11T00:00:00"/>
    <s v="F"/>
    <x v="1"/>
    <x v="2"/>
    <x v="0"/>
    <x v="29"/>
    <n v="7"/>
    <x v="9"/>
    <x v="2"/>
  </r>
  <r>
    <s v="TX501716"/>
    <x v="2"/>
    <x v="1"/>
    <n v="118.5"/>
    <n v="237"/>
    <x v="62"/>
    <d v="2025-03-07T00:00:00"/>
    <s v="M"/>
    <x v="1"/>
    <x v="2"/>
    <x v="0"/>
    <x v="16"/>
    <n v="3"/>
    <x v="9"/>
    <x v="1"/>
  </r>
  <r>
    <s v="TX501717"/>
    <x v="15"/>
    <x v="3"/>
    <n v="59.1"/>
    <n v="413.7"/>
    <x v="62"/>
    <d v="2025-03-05T00:00:00"/>
    <s v="F"/>
    <x v="3"/>
    <x v="0"/>
    <x v="0"/>
    <x v="25"/>
    <n v="1"/>
    <x v="9"/>
    <x v="2"/>
  </r>
  <r>
    <s v="TX501718"/>
    <x v="4"/>
    <x v="0"/>
    <n v="21.2"/>
    <n v="21.2"/>
    <x v="62"/>
    <d v="2025-03-05T00:00:00"/>
    <s v="F"/>
    <x v="0"/>
    <x v="1"/>
    <x v="0"/>
    <x v="6"/>
    <n v="1"/>
    <x v="9"/>
    <x v="2"/>
  </r>
  <r>
    <s v="TX501719"/>
    <x v="6"/>
    <x v="1"/>
    <n v="68.8"/>
    <n v="137.6"/>
    <x v="62"/>
    <d v="2025-03-09T00:00:00"/>
    <s v="F"/>
    <x v="3"/>
    <x v="2"/>
    <x v="0"/>
    <x v="6"/>
    <n v="5"/>
    <x v="9"/>
    <x v="2"/>
  </r>
  <r>
    <s v="TX501720"/>
    <x v="6"/>
    <x v="1"/>
    <n v="65.400000000000006"/>
    <n v="130.80000000000001"/>
    <x v="62"/>
    <d v="2025-03-08T00:00:00"/>
    <s v="F"/>
    <x v="0"/>
    <x v="0"/>
    <x v="0"/>
    <x v="6"/>
    <n v="4"/>
    <x v="9"/>
    <x v="2"/>
  </r>
  <r>
    <s v="TX501721"/>
    <x v="12"/>
    <x v="9"/>
    <n v="66.3"/>
    <n v="331.5"/>
    <x v="63"/>
    <d v="2025-03-08T00:00:00"/>
    <s v="F"/>
    <x v="4"/>
    <x v="0"/>
    <x v="0"/>
    <x v="6"/>
    <n v="3"/>
    <x v="9"/>
    <x v="2"/>
  </r>
  <r>
    <s v="TX501722"/>
    <x v="6"/>
    <x v="2"/>
    <n v="97.5"/>
    <n v="292.5"/>
    <x v="63"/>
    <d v="2025-03-05T00:00:00"/>
    <s v="M"/>
    <x v="3"/>
    <x v="0"/>
    <x v="0"/>
    <x v="8"/>
    <n v="0"/>
    <x v="9"/>
    <x v="1"/>
  </r>
  <r>
    <s v="TX501723"/>
    <x v="1"/>
    <x v="1"/>
    <n v="44"/>
    <n v="88"/>
    <x v="63"/>
    <d v="2025-03-08T00:00:00"/>
    <s v="F"/>
    <x v="1"/>
    <x v="2"/>
    <x v="0"/>
    <x v="8"/>
    <n v="3"/>
    <x v="9"/>
    <x v="2"/>
  </r>
  <r>
    <s v="TX501724"/>
    <x v="0"/>
    <x v="0"/>
    <n v="21.9"/>
    <n v="21.9"/>
    <x v="63"/>
    <d v="2025-03-06T00:00:00"/>
    <s v="M"/>
    <x v="0"/>
    <x v="0"/>
    <x v="0"/>
    <x v="8"/>
    <n v="1"/>
    <x v="9"/>
    <x v="1"/>
  </r>
  <r>
    <s v="TX501725"/>
    <x v="4"/>
    <x v="3"/>
    <n v="21.5"/>
    <n v="150.5"/>
    <x v="63"/>
    <d v="2025-03-07T00:00:00"/>
    <s v="F"/>
    <x v="1"/>
    <x v="2"/>
    <x v="0"/>
    <x v="9"/>
    <n v="2"/>
    <x v="9"/>
    <x v="2"/>
  </r>
  <r>
    <s v="TX501726"/>
    <x v="12"/>
    <x v="13"/>
    <n v="133"/>
    <n v="798"/>
    <x v="63"/>
    <d v="2025-03-06T00:00:00"/>
    <s v="O"/>
    <x v="0"/>
    <x v="2"/>
    <x v="0"/>
    <x v="10"/>
    <n v="1"/>
    <x v="9"/>
    <x v="3"/>
  </r>
  <r>
    <s v="TX501727"/>
    <x v="8"/>
    <x v="1"/>
    <n v="47.7"/>
    <n v="95.4"/>
    <x v="63"/>
    <d v="2025-03-09T00:00:00"/>
    <s v="M"/>
    <x v="0"/>
    <x v="2"/>
    <x v="0"/>
    <x v="10"/>
    <n v="4"/>
    <x v="9"/>
    <x v="1"/>
  </r>
  <r>
    <s v="TX501728"/>
    <x v="16"/>
    <x v="2"/>
    <n v="58.1"/>
    <n v="174.3"/>
    <x v="63"/>
    <d v="2025-03-06T00:00:00"/>
    <s v="F"/>
    <x v="0"/>
    <x v="0"/>
    <x v="0"/>
    <x v="11"/>
    <n v="1"/>
    <x v="9"/>
    <x v="2"/>
  </r>
  <r>
    <s v="TX501729"/>
    <x v="12"/>
    <x v="12"/>
    <n v="66.599999999999994"/>
    <n v="266.39999999999998"/>
    <x v="63"/>
    <d v="2025-03-06T00:00:00"/>
    <s v=""/>
    <x v="0"/>
    <x v="0"/>
    <x v="0"/>
    <x v="11"/>
    <n v="1"/>
    <x v="9"/>
    <x v="0"/>
  </r>
  <r>
    <s v="TX501730"/>
    <x v="9"/>
    <x v="0"/>
    <n v="24.1"/>
    <n v="24.1"/>
    <x v="63"/>
    <d v="2025-03-08T00:00:00"/>
    <s v="M"/>
    <x v="2"/>
    <x v="1"/>
    <x v="0"/>
    <x v="19"/>
    <n v="3"/>
    <x v="9"/>
    <x v="1"/>
  </r>
  <r>
    <s v="TX501731"/>
    <x v="10"/>
    <x v="9"/>
    <n v="51.5"/>
    <n v="257.5"/>
    <x v="63"/>
    <d v="2025-03-10T00:00:00"/>
    <s v="F"/>
    <x v="0"/>
    <x v="0"/>
    <x v="0"/>
    <x v="13"/>
    <n v="5"/>
    <x v="9"/>
    <x v="2"/>
  </r>
  <r>
    <s v="TX501732"/>
    <x v="0"/>
    <x v="5"/>
    <n v="25.8"/>
    <n v="283.8"/>
    <x v="63"/>
    <d v="2025-03-09T00:00:00"/>
    <s v="F"/>
    <x v="3"/>
    <x v="4"/>
    <x v="0"/>
    <x v="21"/>
    <n v="4"/>
    <x v="9"/>
    <x v="2"/>
  </r>
  <r>
    <s v="TX501733"/>
    <x v="9"/>
    <x v="12"/>
    <n v="47.7"/>
    <n v="190.8"/>
    <x v="63"/>
    <d v="2025-03-05T00:00:00"/>
    <s v="F"/>
    <x v="0"/>
    <x v="1"/>
    <x v="0"/>
    <x v="21"/>
    <n v="0"/>
    <x v="9"/>
    <x v="2"/>
  </r>
  <r>
    <s v="TX501734"/>
    <x v="7"/>
    <x v="9"/>
    <n v="73.599999999999994"/>
    <n v="368"/>
    <x v="63"/>
    <d v="2025-03-09T00:00:00"/>
    <s v="M"/>
    <x v="1"/>
    <x v="0"/>
    <x v="0"/>
    <x v="21"/>
    <n v="4"/>
    <x v="9"/>
    <x v="1"/>
  </r>
  <r>
    <s v="TX501735"/>
    <x v="5"/>
    <x v="3"/>
    <n v="91.2"/>
    <n v="638.4"/>
    <x v="63"/>
    <d v="2025-03-06T00:00:00"/>
    <s v="M"/>
    <x v="1"/>
    <x v="2"/>
    <x v="0"/>
    <x v="21"/>
    <n v="1"/>
    <x v="9"/>
    <x v="1"/>
  </r>
  <r>
    <s v="TX501736"/>
    <x v="1"/>
    <x v="8"/>
    <n v="36.200000000000003"/>
    <n v="289.60000000000002"/>
    <x v="63"/>
    <d v="2025-03-05T00:00:00"/>
    <s v="M"/>
    <x v="2"/>
    <x v="2"/>
    <x v="0"/>
    <x v="1"/>
    <n v="0"/>
    <x v="9"/>
    <x v="1"/>
  </r>
  <r>
    <s v="TX501737"/>
    <x v="9"/>
    <x v="8"/>
    <n v="98"/>
    <n v="784"/>
    <x v="63"/>
    <d v="2025-03-09T00:00:00"/>
    <s v="F"/>
    <x v="2"/>
    <x v="0"/>
    <x v="0"/>
    <x v="2"/>
    <n v="4"/>
    <x v="9"/>
    <x v="2"/>
  </r>
  <r>
    <s v="TX501738"/>
    <x v="1"/>
    <x v="8"/>
    <n v="43.6"/>
    <n v="348.8"/>
    <x v="63"/>
    <d v="2025-03-06T00:00:00"/>
    <s v="F"/>
    <x v="2"/>
    <x v="0"/>
    <x v="0"/>
    <x v="22"/>
    <n v="1"/>
    <x v="9"/>
    <x v="2"/>
  </r>
  <r>
    <s v="TX501739"/>
    <x v="8"/>
    <x v="7"/>
    <n v="37.799999999999997"/>
    <n v="378"/>
    <x v="63"/>
    <d v="2025-03-05T00:00:00"/>
    <s v="O"/>
    <x v="0"/>
    <x v="0"/>
    <x v="0"/>
    <x v="50"/>
    <n v="0"/>
    <x v="9"/>
    <x v="3"/>
  </r>
  <r>
    <s v="TX501740"/>
    <x v="17"/>
    <x v="9"/>
    <n v="63.7"/>
    <n v="318.5"/>
    <x v="63"/>
    <d v="2025-03-08T00:00:00"/>
    <s v="F"/>
    <x v="2"/>
    <x v="1"/>
    <x v="0"/>
    <x v="3"/>
    <n v="3"/>
    <x v="9"/>
    <x v="2"/>
  </r>
  <r>
    <s v="TX501741"/>
    <x v="5"/>
    <x v="11"/>
    <n v="62.9"/>
    <n v="566.1"/>
    <x v="63"/>
    <d v="2025-03-10T00:00:00"/>
    <s v="M"/>
    <x v="3"/>
    <x v="2"/>
    <x v="0"/>
    <x v="3"/>
    <n v="5"/>
    <x v="9"/>
    <x v="1"/>
  </r>
  <r>
    <s v="TX501742"/>
    <x v="6"/>
    <x v="3"/>
    <n v="61.7"/>
    <n v="431.90000000000003"/>
    <x v="63"/>
    <d v="2025-03-08T00:00:00"/>
    <s v="F"/>
    <x v="2"/>
    <x v="2"/>
    <x v="0"/>
    <x v="3"/>
    <n v="3"/>
    <x v="9"/>
    <x v="2"/>
  </r>
  <r>
    <s v="TX501743"/>
    <x v="18"/>
    <x v="21"/>
    <n v="36.5"/>
    <n v="511"/>
    <x v="63"/>
    <d v="2025-03-06T00:00:00"/>
    <s v="M"/>
    <x v="0"/>
    <x v="2"/>
    <x v="0"/>
    <x v="3"/>
    <n v="1"/>
    <x v="9"/>
    <x v="1"/>
  </r>
  <r>
    <s v="TX501744"/>
    <x v="11"/>
    <x v="2"/>
    <n v="98.6"/>
    <n v="295.79999999999995"/>
    <x v="63"/>
    <d v="2025-03-08T00:00:00"/>
    <s v="O"/>
    <x v="0"/>
    <x v="4"/>
    <x v="0"/>
    <x v="3"/>
    <n v="3"/>
    <x v="9"/>
    <x v="3"/>
  </r>
  <r>
    <s v="TX501745"/>
    <x v="8"/>
    <x v="1"/>
    <n v="19.2"/>
    <n v="38.4"/>
    <x v="63"/>
    <d v="2025-03-15T00:00:00"/>
    <s v="M"/>
    <x v="0"/>
    <x v="0"/>
    <x v="0"/>
    <x v="3"/>
    <n v="10"/>
    <x v="9"/>
    <x v="1"/>
  </r>
  <r>
    <s v="TX501746"/>
    <x v="3"/>
    <x v="13"/>
    <n v="55.6"/>
    <n v="333.6"/>
    <x v="63"/>
    <d v="2025-03-09T00:00:00"/>
    <s v="F"/>
    <x v="0"/>
    <x v="2"/>
    <x v="0"/>
    <x v="3"/>
    <n v="4"/>
    <x v="9"/>
    <x v="2"/>
  </r>
  <r>
    <s v="TX501747"/>
    <x v="5"/>
    <x v="13"/>
    <n v="56.4"/>
    <n v="338.4"/>
    <x v="63"/>
    <d v="2025-03-06T00:00:00"/>
    <s v="F"/>
    <x v="1"/>
    <x v="0"/>
    <x v="0"/>
    <x v="3"/>
    <n v="1"/>
    <x v="9"/>
    <x v="2"/>
  </r>
  <r>
    <s v="TX501748"/>
    <x v="4"/>
    <x v="8"/>
    <n v="43.1"/>
    <n v="344.8"/>
    <x v="63"/>
    <d v="2025-03-09T00:00:00"/>
    <s v="F"/>
    <x v="4"/>
    <x v="0"/>
    <x v="0"/>
    <x v="3"/>
    <n v="4"/>
    <x v="9"/>
    <x v="2"/>
  </r>
  <r>
    <s v="TX501749"/>
    <x v="1"/>
    <x v="1"/>
    <n v="77.3"/>
    <n v="154.6"/>
    <x v="63"/>
    <d v="2025-03-07T00:00:00"/>
    <s v="M"/>
    <x v="0"/>
    <x v="0"/>
    <x v="0"/>
    <x v="6"/>
    <n v="2"/>
    <x v="9"/>
    <x v="1"/>
  </r>
  <r>
    <s v="TX501750"/>
    <x v="9"/>
    <x v="8"/>
    <n v="38.299999999999997"/>
    <n v="306.39999999999998"/>
    <x v="63"/>
    <d v="2025-03-06T00:00:00"/>
    <s v="M"/>
    <x v="0"/>
    <x v="0"/>
    <x v="0"/>
    <x v="7"/>
    <n v="1"/>
    <x v="9"/>
    <x v="1"/>
  </r>
  <r>
    <s v="TX501751"/>
    <x v="0"/>
    <x v="3"/>
    <n v="16.8"/>
    <n v="117.60000000000001"/>
    <x v="63"/>
    <d v="2025-03-08T00:00:00"/>
    <s v="M"/>
    <x v="2"/>
    <x v="1"/>
    <x v="0"/>
    <x v="8"/>
    <n v="3"/>
    <x v="9"/>
    <x v="1"/>
  </r>
  <r>
    <s v="TX501752"/>
    <x v="2"/>
    <x v="2"/>
    <n v="63.2"/>
    <n v="189.60000000000002"/>
    <x v="63"/>
    <d v="2025-03-06T00:00:00"/>
    <s v="F"/>
    <x v="0"/>
    <x v="2"/>
    <x v="0"/>
    <x v="8"/>
    <n v="1"/>
    <x v="9"/>
    <x v="2"/>
  </r>
  <r>
    <s v="TX501753"/>
    <x v="14"/>
    <x v="44"/>
    <n v="39.700000000000003"/>
    <n v="913.1"/>
    <x v="63"/>
    <d v="2025-03-06T00:00:00"/>
    <s v="M"/>
    <x v="0"/>
    <x v="0"/>
    <x v="0"/>
    <x v="8"/>
    <n v="1"/>
    <x v="9"/>
    <x v="1"/>
  </r>
  <r>
    <s v="TX501754"/>
    <x v="10"/>
    <x v="2"/>
    <n v="45.8"/>
    <n v="137.39999999999998"/>
    <x v="63"/>
    <d v="2025-03-06T00:00:00"/>
    <s v="F"/>
    <x v="1"/>
    <x v="2"/>
    <x v="0"/>
    <x v="8"/>
    <n v="1"/>
    <x v="9"/>
    <x v="2"/>
  </r>
  <r>
    <s v="TX501755"/>
    <x v="0"/>
    <x v="13"/>
    <n v="12.4"/>
    <n v="74.400000000000006"/>
    <x v="63"/>
    <d v="2025-03-08T00:00:00"/>
    <s v="M"/>
    <x v="0"/>
    <x v="0"/>
    <x v="0"/>
    <x v="8"/>
    <n v="3"/>
    <x v="9"/>
    <x v="1"/>
  </r>
  <r>
    <s v="TX501756"/>
    <x v="14"/>
    <x v="2"/>
    <n v="50.8"/>
    <n v="152.39999999999998"/>
    <x v="64"/>
    <d v="2025-03-06T00:00:00"/>
    <s v="F"/>
    <x v="4"/>
    <x v="0"/>
    <x v="0"/>
    <x v="17"/>
    <n v="0"/>
    <x v="9"/>
    <x v="2"/>
  </r>
  <r>
    <s v="TX501757"/>
    <x v="9"/>
    <x v="0"/>
    <n v="76"/>
    <n v="76"/>
    <x v="64"/>
    <d v="2025-03-10T00:00:00"/>
    <s v="O"/>
    <x v="2"/>
    <x v="2"/>
    <x v="0"/>
    <x v="17"/>
    <n v="4"/>
    <x v="9"/>
    <x v="3"/>
  </r>
  <r>
    <s v="TX501758"/>
    <x v="1"/>
    <x v="1"/>
    <n v="51.9"/>
    <n v="103.8"/>
    <x v="64"/>
    <d v="2025-03-07T00:00:00"/>
    <s v="M"/>
    <x v="1"/>
    <x v="2"/>
    <x v="0"/>
    <x v="26"/>
    <n v="1"/>
    <x v="9"/>
    <x v="1"/>
  </r>
  <r>
    <s v="TX501759"/>
    <x v="2"/>
    <x v="1"/>
    <n v="93.4"/>
    <n v="186.8"/>
    <x v="64"/>
    <d v="2025-03-13T00:00:00"/>
    <s v="M"/>
    <x v="0"/>
    <x v="3"/>
    <x v="0"/>
    <x v="11"/>
    <n v="7"/>
    <x v="9"/>
    <x v="1"/>
  </r>
  <r>
    <s v="TX501760"/>
    <x v="7"/>
    <x v="13"/>
    <n v="30.8"/>
    <n v="184.8"/>
    <x v="64"/>
    <d v="2025-03-09T00:00:00"/>
    <s v="F"/>
    <x v="1"/>
    <x v="0"/>
    <x v="0"/>
    <x v="11"/>
    <n v="3"/>
    <x v="9"/>
    <x v="2"/>
  </r>
  <r>
    <s v="TX501761"/>
    <x v="2"/>
    <x v="0"/>
    <n v="143.19999999999999"/>
    <n v="143.19999999999999"/>
    <x v="64"/>
    <d v="2025-03-09T00:00:00"/>
    <s v="M"/>
    <x v="2"/>
    <x v="0"/>
    <x v="0"/>
    <x v="11"/>
    <n v="3"/>
    <x v="9"/>
    <x v="1"/>
  </r>
  <r>
    <s v="TX501762"/>
    <x v="6"/>
    <x v="5"/>
    <n v="40.4"/>
    <n v="444.4"/>
    <x v="64"/>
    <d v="2025-03-08T00:00:00"/>
    <s v="M"/>
    <x v="2"/>
    <x v="2"/>
    <x v="0"/>
    <x v="18"/>
    <n v="2"/>
    <x v="9"/>
    <x v="1"/>
  </r>
  <r>
    <s v="TX501763"/>
    <x v="2"/>
    <x v="10"/>
    <n v="131.5"/>
    <n v="2498.5"/>
    <x v="64"/>
    <d v="2025-03-08T00:00:00"/>
    <s v="M"/>
    <x v="1"/>
    <x v="1"/>
    <x v="0"/>
    <x v="18"/>
    <n v="2"/>
    <x v="9"/>
    <x v="1"/>
  </r>
  <r>
    <s v="TX501764"/>
    <x v="18"/>
    <x v="3"/>
    <n v="61.6"/>
    <n v="431.2"/>
    <x v="64"/>
    <d v="2025-03-07T00:00:00"/>
    <s v="M"/>
    <x v="2"/>
    <x v="0"/>
    <x v="0"/>
    <x v="21"/>
    <n v="1"/>
    <x v="9"/>
    <x v="1"/>
  </r>
  <r>
    <s v="TX501765"/>
    <x v="9"/>
    <x v="9"/>
    <n v="32.700000000000003"/>
    <n v="163.5"/>
    <x v="64"/>
    <d v="2025-03-08T00:00:00"/>
    <s v="M"/>
    <x v="2"/>
    <x v="0"/>
    <x v="0"/>
    <x v="1"/>
    <n v="2"/>
    <x v="9"/>
    <x v="1"/>
  </r>
  <r>
    <s v="TX501766"/>
    <x v="0"/>
    <x v="7"/>
    <n v="13.7"/>
    <n v="137"/>
    <x v="64"/>
    <d v="2025-03-07T00:00:00"/>
    <s v="M"/>
    <x v="0"/>
    <x v="2"/>
    <x v="0"/>
    <x v="3"/>
    <n v="1"/>
    <x v="9"/>
    <x v="1"/>
  </r>
  <r>
    <s v="TX501767"/>
    <x v="0"/>
    <x v="12"/>
    <n v="32.1"/>
    <n v="128.4"/>
    <x v="64"/>
    <d v="2025-03-07T00:00:00"/>
    <s v="M"/>
    <x v="4"/>
    <x v="1"/>
    <x v="0"/>
    <x v="3"/>
    <n v="1"/>
    <x v="9"/>
    <x v="1"/>
  </r>
  <r>
    <s v="TX501768"/>
    <x v="14"/>
    <x v="8"/>
    <n v="12"/>
    <n v="96"/>
    <x v="64"/>
    <d v="2025-03-07T00:00:00"/>
    <s v="M"/>
    <x v="1"/>
    <x v="0"/>
    <x v="0"/>
    <x v="24"/>
    <n v="1"/>
    <x v="9"/>
    <x v="1"/>
  </r>
  <r>
    <s v="TX501769"/>
    <x v="12"/>
    <x v="0"/>
    <n v="64.3"/>
    <n v="64.3"/>
    <x v="64"/>
    <d v="2025-03-08T00:00:00"/>
    <s v="F"/>
    <x v="2"/>
    <x v="2"/>
    <x v="0"/>
    <x v="6"/>
    <n v="2"/>
    <x v="9"/>
    <x v="2"/>
  </r>
  <r>
    <s v="TX501770"/>
    <x v="1"/>
    <x v="2"/>
    <n v="58.2"/>
    <n v="174.60000000000002"/>
    <x v="64"/>
    <d v="2025-03-08T00:00:00"/>
    <s v="F"/>
    <x v="1"/>
    <x v="2"/>
    <x v="0"/>
    <x v="6"/>
    <n v="2"/>
    <x v="9"/>
    <x v="2"/>
  </r>
  <r>
    <s v="TX501771"/>
    <x v="6"/>
    <x v="12"/>
    <n v="59.2"/>
    <n v="236.8"/>
    <x v="64"/>
    <d v="2025-03-06T00:00:00"/>
    <s v="M"/>
    <x v="1"/>
    <x v="2"/>
    <x v="0"/>
    <x v="6"/>
    <n v="0"/>
    <x v="9"/>
    <x v="1"/>
  </r>
  <r>
    <s v="TX501772"/>
    <x v="10"/>
    <x v="5"/>
    <n v="35.6"/>
    <n v="391.6"/>
    <x v="64"/>
    <d v="2025-03-13T00:00:00"/>
    <s v="M"/>
    <x v="0"/>
    <x v="2"/>
    <x v="0"/>
    <x v="8"/>
    <n v="7"/>
    <x v="9"/>
    <x v="1"/>
  </r>
  <r>
    <s v="TX501773"/>
    <x v="16"/>
    <x v="8"/>
    <n v="37"/>
    <n v="296"/>
    <x v="64"/>
    <d v="2025-03-10T00:00:00"/>
    <s v="F"/>
    <x v="2"/>
    <x v="1"/>
    <x v="0"/>
    <x v="8"/>
    <n v="4"/>
    <x v="9"/>
    <x v="2"/>
  </r>
  <r>
    <s v="TX501774"/>
    <x v="1"/>
    <x v="15"/>
    <n v="80.8"/>
    <n v="1050.3999999999999"/>
    <x v="64"/>
    <d v="2025-03-08T00:00:00"/>
    <s v="F"/>
    <x v="0"/>
    <x v="0"/>
    <x v="0"/>
    <x v="8"/>
    <n v="2"/>
    <x v="9"/>
    <x v="2"/>
  </r>
  <r>
    <s v="TX501775"/>
    <x v="8"/>
    <x v="1"/>
    <n v="63.2"/>
    <n v="126.4"/>
    <x v="64"/>
    <d v="2025-03-07T00:00:00"/>
    <s v="M"/>
    <x v="0"/>
    <x v="1"/>
    <x v="0"/>
    <x v="8"/>
    <n v="1"/>
    <x v="9"/>
    <x v="1"/>
  </r>
  <r>
    <s v="TX501776"/>
    <x v="3"/>
    <x v="1"/>
    <n v="40.799999999999997"/>
    <n v="81.599999999999994"/>
    <x v="64"/>
    <d v="2025-03-08T00:00:00"/>
    <s v="M"/>
    <x v="0"/>
    <x v="1"/>
    <x v="0"/>
    <x v="17"/>
    <n v="2"/>
    <x v="9"/>
    <x v="1"/>
  </r>
  <r>
    <s v="TX501777"/>
    <x v="13"/>
    <x v="13"/>
    <n v="25.7"/>
    <n v="154.19999999999999"/>
    <x v="64"/>
    <d v="2025-03-08T00:00:00"/>
    <s v="M"/>
    <x v="4"/>
    <x v="0"/>
    <x v="0"/>
    <x v="18"/>
    <n v="2"/>
    <x v="9"/>
    <x v="1"/>
  </r>
  <r>
    <s v="TX501778"/>
    <x v="16"/>
    <x v="1"/>
    <n v="49.9"/>
    <n v="99.8"/>
    <x v="64"/>
    <d v="2025-03-09T00:00:00"/>
    <s v="M"/>
    <x v="0"/>
    <x v="0"/>
    <x v="0"/>
    <x v="20"/>
    <n v="3"/>
    <x v="9"/>
    <x v="1"/>
  </r>
  <r>
    <s v="TX501779"/>
    <x v="8"/>
    <x v="1"/>
    <n v="20.2"/>
    <n v="40.4"/>
    <x v="64"/>
    <d v="2025-03-08T00:00:00"/>
    <s v="F"/>
    <x v="3"/>
    <x v="0"/>
    <x v="0"/>
    <x v="21"/>
    <n v="2"/>
    <x v="9"/>
    <x v="2"/>
  </r>
  <r>
    <s v="TX501780"/>
    <x v="6"/>
    <x v="2"/>
    <n v="48.4"/>
    <n v="145.19999999999999"/>
    <x v="64"/>
    <d v="2025-03-11T00:00:00"/>
    <s v="F"/>
    <x v="0"/>
    <x v="2"/>
    <x v="0"/>
    <x v="21"/>
    <n v="5"/>
    <x v="9"/>
    <x v="2"/>
  </r>
  <r>
    <s v="TX501781"/>
    <x v="6"/>
    <x v="1"/>
    <n v="81"/>
    <n v="162"/>
    <x v="64"/>
    <d v="2025-03-07T00:00:00"/>
    <s v="F"/>
    <x v="1"/>
    <x v="2"/>
    <x v="0"/>
    <x v="21"/>
    <n v="1"/>
    <x v="9"/>
    <x v="2"/>
  </r>
  <r>
    <s v="TX501782"/>
    <x v="8"/>
    <x v="13"/>
    <n v="19.899999999999999"/>
    <n v="119.39999999999999"/>
    <x v="64"/>
    <d v="2025-03-09T00:00:00"/>
    <s v="F"/>
    <x v="0"/>
    <x v="1"/>
    <x v="0"/>
    <x v="22"/>
    <n v="3"/>
    <x v="9"/>
    <x v="2"/>
  </r>
  <r>
    <s v="TX501783"/>
    <x v="4"/>
    <x v="12"/>
    <n v="32.200000000000003"/>
    <n v="128.80000000000001"/>
    <x v="64"/>
    <d v="2025-03-16T00:00:00"/>
    <s v="M"/>
    <x v="0"/>
    <x v="0"/>
    <x v="0"/>
    <x v="22"/>
    <n v="10"/>
    <x v="9"/>
    <x v="1"/>
  </r>
  <r>
    <s v="TX501784"/>
    <x v="5"/>
    <x v="2"/>
    <n v="76.8"/>
    <n v="230.39999999999998"/>
    <x v="64"/>
    <d v="2025-03-07T00:00:00"/>
    <s v="F"/>
    <x v="0"/>
    <x v="1"/>
    <x v="0"/>
    <x v="3"/>
    <n v="1"/>
    <x v="9"/>
    <x v="2"/>
  </r>
  <r>
    <s v="TX501785"/>
    <x v="6"/>
    <x v="1"/>
    <n v="41.9"/>
    <n v="83.8"/>
    <x v="64"/>
    <d v="2025-03-08T00:00:00"/>
    <s v="F"/>
    <x v="0"/>
    <x v="0"/>
    <x v="0"/>
    <x v="3"/>
    <n v="2"/>
    <x v="9"/>
    <x v="2"/>
  </r>
  <r>
    <s v="TX501786"/>
    <x v="0"/>
    <x v="3"/>
    <n v="34"/>
    <n v="238"/>
    <x v="64"/>
    <d v="2025-03-08T00:00:00"/>
    <s v="F"/>
    <x v="1"/>
    <x v="2"/>
    <x v="0"/>
    <x v="3"/>
    <n v="2"/>
    <x v="9"/>
    <x v="2"/>
  </r>
  <r>
    <s v="TX501787"/>
    <x v="7"/>
    <x v="3"/>
    <n v="61.3"/>
    <n v="429.09999999999997"/>
    <x v="64"/>
    <d v="2025-03-06T00:00:00"/>
    <s v="F"/>
    <x v="4"/>
    <x v="2"/>
    <x v="0"/>
    <x v="3"/>
    <n v="0"/>
    <x v="9"/>
    <x v="2"/>
  </r>
  <r>
    <s v="TX501788"/>
    <x v="9"/>
    <x v="0"/>
    <n v="54.7"/>
    <n v="54.7"/>
    <x v="65"/>
    <d v="2025-03-08T00:00:00"/>
    <s v="M"/>
    <x v="0"/>
    <x v="1"/>
    <x v="0"/>
    <x v="3"/>
    <n v="1"/>
    <x v="9"/>
    <x v="1"/>
  </r>
  <r>
    <s v="TX501789"/>
    <x v="6"/>
    <x v="7"/>
    <n v="84.7"/>
    <n v="847"/>
    <x v="65"/>
    <d v="2025-03-11T00:00:00"/>
    <s v="F"/>
    <x v="0"/>
    <x v="0"/>
    <x v="0"/>
    <x v="3"/>
    <n v="4"/>
    <x v="9"/>
    <x v="2"/>
  </r>
  <r>
    <s v="TX501790"/>
    <x v="1"/>
    <x v="2"/>
    <n v="93.4"/>
    <n v="280.20000000000005"/>
    <x v="65"/>
    <d v="2025-03-11T00:00:00"/>
    <s v="F"/>
    <x v="3"/>
    <x v="0"/>
    <x v="0"/>
    <x v="3"/>
    <n v="4"/>
    <x v="9"/>
    <x v="2"/>
  </r>
  <r>
    <s v="TX501791"/>
    <x v="8"/>
    <x v="9"/>
    <n v="27"/>
    <n v="135"/>
    <x v="65"/>
    <d v="2025-03-10T00:00:00"/>
    <s v="M"/>
    <x v="0"/>
    <x v="1"/>
    <x v="0"/>
    <x v="3"/>
    <n v="3"/>
    <x v="9"/>
    <x v="1"/>
  </r>
  <r>
    <s v="TX501792"/>
    <x v="0"/>
    <x v="12"/>
    <n v="10.9"/>
    <n v="43.6"/>
    <x v="65"/>
    <d v="2025-03-08T00:00:00"/>
    <s v="M"/>
    <x v="2"/>
    <x v="0"/>
    <x v="0"/>
    <x v="3"/>
    <n v="1"/>
    <x v="9"/>
    <x v="1"/>
  </r>
  <r>
    <s v="TX501793"/>
    <x v="16"/>
    <x v="2"/>
    <n v="48"/>
    <n v="144"/>
    <x v="65"/>
    <d v="2025-03-12T00:00:00"/>
    <s v="F"/>
    <x v="4"/>
    <x v="0"/>
    <x v="0"/>
    <x v="3"/>
    <n v="5"/>
    <x v="9"/>
    <x v="2"/>
  </r>
  <r>
    <s v="TX501794"/>
    <x v="5"/>
    <x v="1"/>
    <n v="67.900000000000006"/>
    <n v="135.80000000000001"/>
    <x v="65"/>
    <d v="2025-03-08T00:00:00"/>
    <s v="M"/>
    <x v="0"/>
    <x v="2"/>
    <x v="0"/>
    <x v="23"/>
    <n v="1"/>
    <x v="9"/>
    <x v="1"/>
  </r>
  <r>
    <s v="TX501795"/>
    <x v="4"/>
    <x v="2"/>
    <n v="36"/>
    <n v="108"/>
    <x v="65"/>
    <d v="2025-03-08T00:00:00"/>
    <s v="M"/>
    <x v="1"/>
    <x v="0"/>
    <x v="0"/>
    <x v="6"/>
    <n v="1"/>
    <x v="9"/>
    <x v="1"/>
  </r>
  <r>
    <s v="TX501796"/>
    <x v="2"/>
    <x v="0"/>
    <n v="128.80000000000001"/>
    <n v="128.80000000000001"/>
    <x v="65"/>
    <d v="2025-03-08T00:00:00"/>
    <s v="M"/>
    <x v="4"/>
    <x v="2"/>
    <x v="0"/>
    <x v="6"/>
    <n v="1"/>
    <x v="9"/>
    <x v="1"/>
  </r>
  <r>
    <s v="TX501797"/>
    <x v="18"/>
    <x v="3"/>
    <n v="33.299999999999997"/>
    <n v="233.09999999999997"/>
    <x v="65"/>
    <d v="2025-03-08T00:00:00"/>
    <s v="F"/>
    <x v="3"/>
    <x v="0"/>
    <x v="0"/>
    <x v="8"/>
    <n v="1"/>
    <x v="9"/>
    <x v="2"/>
  </r>
  <r>
    <s v="TX501798"/>
    <x v="10"/>
    <x v="2"/>
    <n v="37.799999999999997"/>
    <n v="113.39999999999999"/>
    <x v="65"/>
    <d v="2025-03-09T00:00:00"/>
    <s v="M"/>
    <x v="1"/>
    <x v="2"/>
    <x v="0"/>
    <x v="8"/>
    <n v="2"/>
    <x v="9"/>
    <x v="1"/>
  </r>
  <r>
    <s v="TX501799"/>
    <x v="5"/>
    <x v="2"/>
    <n v="26"/>
    <n v="78"/>
    <x v="65"/>
    <d v="2025-03-12T00:00:00"/>
    <s v="F"/>
    <x v="0"/>
    <x v="0"/>
    <x v="0"/>
    <x v="8"/>
    <n v="5"/>
    <x v="9"/>
    <x v="2"/>
  </r>
  <r>
    <s v="TX501800"/>
    <x v="8"/>
    <x v="10"/>
    <n v="28.3"/>
    <n v="537.70000000000005"/>
    <x v="65"/>
    <d v="2025-03-08T00:00:00"/>
    <s v="F"/>
    <x v="3"/>
    <x v="4"/>
    <x v="0"/>
    <x v="8"/>
    <n v="1"/>
    <x v="9"/>
    <x v="2"/>
  </r>
  <r>
    <s v="TX501801"/>
    <x v="8"/>
    <x v="12"/>
    <n v="31.3"/>
    <n v="125.2"/>
    <x v="65"/>
    <d v="2025-03-07T00:00:00"/>
    <s v="F"/>
    <x v="0"/>
    <x v="0"/>
    <x v="0"/>
    <x v="8"/>
    <n v="0"/>
    <x v="9"/>
    <x v="2"/>
  </r>
  <r>
    <s v="TX501802"/>
    <x v="7"/>
    <x v="2"/>
    <n v="69.5"/>
    <n v="208.5"/>
    <x v="65"/>
    <d v="2025-03-08T00:00:00"/>
    <s v="F"/>
    <x v="3"/>
    <x v="2"/>
    <x v="0"/>
    <x v="8"/>
    <n v="1"/>
    <x v="9"/>
    <x v="2"/>
  </r>
  <r>
    <s v="TX501803"/>
    <x v="0"/>
    <x v="1"/>
    <n v="16.7"/>
    <n v="33.4"/>
    <x v="65"/>
    <d v="2025-03-08T00:00:00"/>
    <s v="F"/>
    <x v="3"/>
    <x v="1"/>
    <x v="0"/>
    <x v="8"/>
    <n v="1"/>
    <x v="9"/>
    <x v="2"/>
  </r>
  <r>
    <s v="TX501804"/>
    <x v="9"/>
    <x v="1"/>
    <n v="62.6"/>
    <n v="125.2"/>
    <x v="65"/>
    <d v="2025-03-08T00:00:00"/>
    <s v="M"/>
    <x v="2"/>
    <x v="2"/>
    <x v="0"/>
    <x v="9"/>
    <n v="1"/>
    <x v="9"/>
    <x v="1"/>
  </r>
  <r>
    <s v="TX501805"/>
    <x v="7"/>
    <x v="0"/>
    <n v="81.2"/>
    <n v="81.2"/>
    <x v="65"/>
    <d v="2025-03-13T00:00:00"/>
    <s v="M"/>
    <x v="4"/>
    <x v="4"/>
    <x v="0"/>
    <x v="9"/>
    <n v="6"/>
    <x v="9"/>
    <x v="1"/>
  </r>
  <r>
    <s v="TX501806"/>
    <x v="0"/>
    <x v="7"/>
    <n v="12.7"/>
    <n v="127"/>
    <x v="65"/>
    <d v="2025-03-08T00:00:00"/>
    <s v="F"/>
    <x v="0"/>
    <x v="2"/>
    <x v="0"/>
    <x v="9"/>
    <n v="1"/>
    <x v="9"/>
    <x v="2"/>
  </r>
  <r>
    <s v="TX501807"/>
    <x v="7"/>
    <x v="12"/>
    <n v="77.7"/>
    <n v="310.8"/>
    <x v="66"/>
    <d v="2025-03-12T00:00:00"/>
    <s v="M"/>
    <x v="1"/>
    <x v="0"/>
    <x v="0"/>
    <x v="11"/>
    <n v="4"/>
    <x v="9"/>
    <x v="1"/>
  </r>
  <r>
    <s v="TX501808"/>
    <x v="5"/>
    <x v="1"/>
    <n v="37.299999999999997"/>
    <n v="74.599999999999994"/>
    <x v="66"/>
    <d v="2025-03-09T00:00:00"/>
    <s v="F"/>
    <x v="0"/>
    <x v="2"/>
    <x v="0"/>
    <x v="18"/>
    <n v="1"/>
    <x v="9"/>
    <x v="2"/>
  </r>
  <r>
    <s v="TX501809"/>
    <x v="10"/>
    <x v="12"/>
    <n v="35.6"/>
    <n v="142.4"/>
    <x v="66"/>
    <d v="2025-03-10T00:00:00"/>
    <s v="F"/>
    <x v="1"/>
    <x v="1"/>
    <x v="0"/>
    <x v="19"/>
    <n v="2"/>
    <x v="9"/>
    <x v="2"/>
  </r>
  <r>
    <s v="TX501810"/>
    <x v="2"/>
    <x v="2"/>
    <n v="95"/>
    <n v="285"/>
    <x v="66"/>
    <d v="2025-03-12T00:00:00"/>
    <s v="F"/>
    <x v="2"/>
    <x v="2"/>
    <x v="0"/>
    <x v="56"/>
    <n v="4"/>
    <x v="9"/>
    <x v="2"/>
  </r>
  <r>
    <s v="TX501811"/>
    <x v="2"/>
    <x v="12"/>
    <n v="172.1"/>
    <n v="688.4"/>
    <x v="66"/>
    <d v="2025-03-12T00:00:00"/>
    <s v="O"/>
    <x v="2"/>
    <x v="2"/>
    <x v="0"/>
    <x v="21"/>
    <n v="4"/>
    <x v="9"/>
    <x v="3"/>
  </r>
  <r>
    <s v="TX501812"/>
    <x v="2"/>
    <x v="1"/>
    <n v="233"/>
    <n v="466"/>
    <x v="66"/>
    <d v="2025-03-11T00:00:00"/>
    <s v="F"/>
    <x v="1"/>
    <x v="0"/>
    <x v="0"/>
    <x v="21"/>
    <n v="3"/>
    <x v="9"/>
    <x v="2"/>
  </r>
  <r>
    <s v="TX501813"/>
    <x v="0"/>
    <x v="0"/>
    <n v="43.5"/>
    <n v="43.5"/>
    <x v="66"/>
    <d v="2025-03-09T00:00:00"/>
    <s v="F"/>
    <x v="2"/>
    <x v="2"/>
    <x v="0"/>
    <x v="21"/>
    <n v="1"/>
    <x v="9"/>
    <x v="2"/>
  </r>
  <r>
    <s v="TX501814"/>
    <x v="9"/>
    <x v="1"/>
    <n v="47.8"/>
    <n v="95.6"/>
    <x v="66"/>
    <d v="2025-03-11T00:00:00"/>
    <s v="M"/>
    <x v="4"/>
    <x v="2"/>
    <x v="0"/>
    <x v="1"/>
    <n v="3"/>
    <x v="9"/>
    <x v="1"/>
  </r>
  <r>
    <s v="TX501815"/>
    <x v="12"/>
    <x v="1"/>
    <n v="65.8"/>
    <n v="131.6"/>
    <x v="66"/>
    <d v="2025-03-10T00:00:00"/>
    <s v="F"/>
    <x v="0"/>
    <x v="3"/>
    <x v="0"/>
    <x v="33"/>
    <n v="2"/>
    <x v="9"/>
    <x v="2"/>
  </r>
  <r>
    <s v="TX501816"/>
    <x v="15"/>
    <x v="5"/>
    <n v="38.700000000000003"/>
    <n v="425.70000000000005"/>
    <x v="66"/>
    <d v="2025-03-08T00:00:00"/>
    <s v="M"/>
    <x v="0"/>
    <x v="0"/>
    <x v="0"/>
    <x v="22"/>
    <n v="0"/>
    <x v="9"/>
    <x v="1"/>
  </r>
  <r>
    <s v="TX501817"/>
    <x v="3"/>
    <x v="12"/>
    <n v="55.7"/>
    <n v="222.8"/>
    <x v="66"/>
    <d v="2025-03-10T00:00:00"/>
    <s v="O"/>
    <x v="0"/>
    <x v="1"/>
    <x v="0"/>
    <x v="22"/>
    <n v="2"/>
    <x v="9"/>
    <x v="3"/>
  </r>
  <r>
    <s v="TX501818"/>
    <x v="7"/>
    <x v="1"/>
    <n v="102.4"/>
    <n v="204.8"/>
    <x v="66"/>
    <d v="2025-03-08T00:00:00"/>
    <s v="F"/>
    <x v="1"/>
    <x v="0"/>
    <x v="0"/>
    <x v="3"/>
    <n v="0"/>
    <x v="9"/>
    <x v="2"/>
  </r>
  <r>
    <s v="TX501819"/>
    <x v="1"/>
    <x v="0"/>
    <n v="92"/>
    <n v="92"/>
    <x v="66"/>
    <d v="2025-03-12T00:00:00"/>
    <s v=""/>
    <x v="2"/>
    <x v="0"/>
    <x v="0"/>
    <x v="3"/>
    <n v="4"/>
    <x v="9"/>
    <x v="0"/>
  </r>
  <r>
    <s v="TX501820"/>
    <x v="6"/>
    <x v="12"/>
    <n v="75.900000000000006"/>
    <n v="303.60000000000002"/>
    <x v="66"/>
    <d v="2025-03-10T00:00:00"/>
    <s v="F"/>
    <x v="1"/>
    <x v="0"/>
    <x v="0"/>
    <x v="3"/>
    <n v="2"/>
    <x v="9"/>
    <x v="2"/>
  </r>
  <r>
    <s v="TX501821"/>
    <x v="1"/>
    <x v="12"/>
    <n v="36.200000000000003"/>
    <n v="144.80000000000001"/>
    <x v="66"/>
    <d v="2025-03-09T00:00:00"/>
    <s v="F"/>
    <x v="1"/>
    <x v="0"/>
    <x v="0"/>
    <x v="3"/>
    <n v="1"/>
    <x v="9"/>
    <x v="2"/>
  </r>
  <r>
    <s v="TX501822"/>
    <x v="6"/>
    <x v="45"/>
    <n v="83.5"/>
    <n v="7264.5"/>
    <x v="66"/>
    <d v="2025-03-10T00:00:00"/>
    <s v=""/>
    <x v="3"/>
    <x v="0"/>
    <x v="0"/>
    <x v="3"/>
    <n v="2"/>
    <x v="9"/>
    <x v="0"/>
  </r>
  <r>
    <s v="TX501823"/>
    <x v="19"/>
    <x v="4"/>
    <n v="52.4"/>
    <n v="628.79999999999995"/>
    <x v="66"/>
    <d v="2025-03-08T00:00:00"/>
    <s v="M"/>
    <x v="2"/>
    <x v="0"/>
    <x v="0"/>
    <x v="3"/>
    <n v="0"/>
    <x v="9"/>
    <x v="1"/>
  </r>
  <r>
    <s v="TX501824"/>
    <x v="12"/>
    <x v="2"/>
    <n v="69.5"/>
    <n v="208.5"/>
    <x v="66"/>
    <d v="2025-03-09T00:00:00"/>
    <s v="O"/>
    <x v="4"/>
    <x v="0"/>
    <x v="0"/>
    <x v="3"/>
    <n v="1"/>
    <x v="9"/>
    <x v="3"/>
  </r>
  <r>
    <s v="TX501825"/>
    <x v="0"/>
    <x v="0"/>
    <n v="15.5"/>
    <n v="15.5"/>
    <x v="66"/>
    <d v="2025-03-10T00:00:00"/>
    <s v="M"/>
    <x v="0"/>
    <x v="0"/>
    <x v="0"/>
    <x v="3"/>
    <n v="2"/>
    <x v="9"/>
    <x v="1"/>
  </r>
  <r>
    <s v="TX501826"/>
    <x v="4"/>
    <x v="12"/>
    <n v="35.200000000000003"/>
    <n v="140.80000000000001"/>
    <x v="66"/>
    <d v="2025-03-09T00:00:00"/>
    <s v="F"/>
    <x v="2"/>
    <x v="2"/>
    <x v="0"/>
    <x v="3"/>
    <n v="1"/>
    <x v="9"/>
    <x v="2"/>
  </r>
  <r>
    <s v="TX501827"/>
    <x v="8"/>
    <x v="13"/>
    <n v="34.6"/>
    <n v="207.60000000000002"/>
    <x v="66"/>
    <d v="2025-03-09T00:00:00"/>
    <s v=""/>
    <x v="0"/>
    <x v="1"/>
    <x v="0"/>
    <x v="3"/>
    <n v="1"/>
    <x v="9"/>
    <x v="0"/>
  </r>
  <r>
    <s v="TX501828"/>
    <x v="4"/>
    <x v="0"/>
    <n v="21.3"/>
    <n v="21.3"/>
    <x v="67"/>
    <d v="2025-03-10T00:00:00"/>
    <s v="M"/>
    <x v="2"/>
    <x v="1"/>
    <x v="0"/>
    <x v="3"/>
    <n v="1"/>
    <x v="10"/>
    <x v="1"/>
  </r>
  <r>
    <s v="TX501829"/>
    <x v="6"/>
    <x v="1"/>
    <n v="136.5"/>
    <n v="273"/>
    <x v="67"/>
    <d v="2025-03-15T00:00:00"/>
    <s v="F"/>
    <x v="0"/>
    <x v="0"/>
    <x v="0"/>
    <x v="37"/>
    <n v="6"/>
    <x v="10"/>
    <x v="2"/>
  </r>
  <r>
    <s v="TX501830"/>
    <x v="9"/>
    <x v="3"/>
    <n v="30.7"/>
    <n v="214.9"/>
    <x v="67"/>
    <d v="2025-03-10T00:00:00"/>
    <s v="M"/>
    <x v="2"/>
    <x v="2"/>
    <x v="0"/>
    <x v="25"/>
    <n v="1"/>
    <x v="10"/>
    <x v="1"/>
  </r>
  <r>
    <s v="TX501831"/>
    <x v="1"/>
    <x v="1"/>
    <n v="61.6"/>
    <n v="123.2"/>
    <x v="67"/>
    <d v="2025-03-10T00:00:00"/>
    <s v="F"/>
    <x v="2"/>
    <x v="2"/>
    <x v="0"/>
    <x v="23"/>
    <n v="1"/>
    <x v="10"/>
    <x v="2"/>
  </r>
  <r>
    <s v="TX501832"/>
    <x v="6"/>
    <x v="12"/>
    <n v="54.3"/>
    <n v="217.2"/>
    <x v="67"/>
    <d v="2025-03-11T00:00:00"/>
    <s v=""/>
    <x v="4"/>
    <x v="0"/>
    <x v="0"/>
    <x v="7"/>
    <n v="2"/>
    <x v="10"/>
    <x v="0"/>
  </r>
  <r>
    <s v="TX501833"/>
    <x v="1"/>
    <x v="1"/>
    <n v="44.1"/>
    <n v="88.2"/>
    <x v="67"/>
    <d v="2025-03-21T00:00:00"/>
    <s v="F"/>
    <x v="0"/>
    <x v="2"/>
    <x v="0"/>
    <x v="8"/>
    <n v="12"/>
    <x v="10"/>
    <x v="2"/>
  </r>
  <r>
    <s v="TX501834"/>
    <x v="8"/>
    <x v="12"/>
    <n v="43.5"/>
    <n v="174"/>
    <x v="67"/>
    <d v="2025-03-15T00:00:00"/>
    <s v="M"/>
    <x v="3"/>
    <x v="0"/>
    <x v="0"/>
    <x v="8"/>
    <n v="6"/>
    <x v="10"/>
    <x v="1"/>
  </r>
  <r>
    <s v="TX501835"/>
    <x v="8"/>
    <x v="2"/>
    <n v="48.2"/>
    <n v="144.60000000000002"/>
    <x v="67"/>
    <d v="2025-03-13T00:00:00"/>
    <s v="M"/>
    <x v="3"/>
    <x v="1"/>
    <x v="0"/>
    <x v="8"/>
    <n v="4"/>
    <x v="10"/>
    <x v="1"/>
  </r>
  <r>
    <s v="TX501836"/>
    <x v="19"/>
    <x v="0"/>
    <n v="13.7"/>
    <n v="13.7"/>
    <x v="67"/>
    <d v="2025-03-10T00:00:00"/>
    <s v="F"/>
    <x v="2"/>
    <x v="2"/>
    <x v="0"/>
    <x v="8"/>
    <n v="1"/>
    <x v="10"/>
    <x v="2"/>
  </r>
  <r>
    <s v="TX501837"/>
    <x v="2"/>
    <x v="1"/>
    <n v="110.5"/>
    <n v="221"/>
    <x v="67"/>
    <d v="2025-03-10T00:00:00"/>
    <s v="F"/>
    <x v="0"/>
    <x v="1"/>
    <x v="0"/>
    <x v="8"/>
    <n v="1"/>
    <x v="10"/>
    <x v="2"/>
  </r>
  <r>
    <s v="TX501838"/>
    <x v="8"/>
    <x v="2"/>
    <n v="26"/>
    <n v="78"/>
    <x v="67"/>
    <d v="2025-03-14T00:00:00"/>
    <s v="F"/>
    <x v="1"/>
    <x v="1"/>
    <x v="0"/>
    <x v="8"/>
    <n v="5"/>
    <x v="10"/>
    <x v="2"/>
  </r>
  <r>
    <s v="TX501839"/>
    <x v="2"/>
    <x v="7"/>
    <n v="140.69999999999999"/>
    <n v="1407"/>
    <x v="67"/>
    <d v="2025-03-15T00:00:00"/>
    <s v="M"/>
    <x v="3"/>
    <x v="1"/>
    <x v="0"/>
    <x v="8"/>
    <n v="6"/>
    <x v="10"/>
    <x v="1"/>
  </r>
  <r>
    <s v="TX501840"/>
    <x v="17"/>
    <x v="1"/>
    <n v="41.7"/>
    <n v="83.4"/>
    <x v="67"/>
    <d v="2025-03-17T00:00:00"/>
    <s v="F"/>
    <x v="0"/>
    <x v="4"/>
    <x v="0"/>
    <x v="8"/>
    <n v="8"/>
    <x v="10"/>
    <x v="2"/>
  </r>
  <r>
    <s v="TX501841"/>
    <x v="2"/>
    <x v="1"/>
    <n v="135.1"/>
    <n v="270.2"/>
    <x v="67"/>
    <d v="2025-03-10T00:00:00"/>
    <s v="M"/>
    <x v="0"/>
    <x v="2"/>
    <x v="0"/>
    <x v="17"/>
    <n v="1"/>
    <x v="10"/>
    <x v="1"/>
  </r>
  <r>
    <s v="TX501842"/>
    <x v="12"/>
    <x v="32"/>
    <n v="95.5"/>
    <n v="2101"/>
    <x v="67"/>
    <d v="2025-03-10T00:00:00"/>
    <s v="F"/>
    <x v="4"/>
    <x v="4"/>
    <x v="0"/>
    <x v="26"/>
    <n v="1"/>
    <x v="10"/>
    <x v="2"/>
  </r>
  <r>
    <s v="TX501843"/>
    <x v="15"/>
    <x v="0"/>
    <n v="25.5"/>
    <n v="25.5"/>
    <x v="67"/>
    <d v="2025-03-12T00:00:00"/>
    <s v=""/>
    <x v="2"/>
    <x v="2"/>
    <x v="0"/>
    <x v="11"/>
    <n v="3"/>
    <x v="10"/>
    <x v="0"/>
  </r>
  <r>
    <s v="TX501844"/>
    <x v="1"/>
    <x v="0"/>
    <n v="42.6"/>
    <n v="42.6"/>
    <x v="67"/>
    <d v="2025-03-13T00:00:00"/>
    <s v="F"/>
    <x v="0"/>
    <x v="0"/>
    <x v="0"/>
    <x v="11"/>
    <n v="4"/>
    <x v="10"/>
    <x v="2"/>
  </r>
  <r>
    <s v="TX501845"/>
    <x v="8"/>
    <x v="20"/>
    <n v="32.4"/>
    <n v="486"/>
    <x v="67"/>
    <d v="2025-03-10T00:00:00"/>
    <s v="M"/>
    <x v="1"/>
    <x v="1"/>
    <x v="0"/>
    <x v="11"/>
    <n v="1"/>
    <x v="10"/>
    <x v="1"/>
  </r>
  <r>
    <s v="TX501846"/>
    <x v="4"/>
    <x v="12"/>
    <n v="20.2"/>
    <n v="80.8"/>
    <x v="67"/>
    <d v="2025-03-10T00:00:00"/>
    <s v="O"/>
    <x v="2"/>
    <x v="0"/>
    <x v="0"/>
    <x v="11"/>
    <n v="1"/>
    <x v="10"/>
    <x v="3"/>
  </r>
  <r>
    <s v="TX501847"/>
    <x v="16"/>
    <x v="2"/>
    <n v="52.5"/>
    <n v="157.5"/>
    <x v="67"/>
    <d v="2025-03-14T00:00:00"/>
    <s v="F"/>
    <x v="4"/>
    <x v="0"/>
    <x v="0"/>
    <x v="18"/>
    <n v="5"/>
    <x v="10"/>
    <x v="2"/>
  </r>
  <r>
    <s v="TX501848"/>
    <x v="2"/>
    <x v="9"/>
    <n v="59.9"/>
    <n v="299.5"/>
    <x v="67"/>
    <d v="2025-03-11T00:00:00"/>
    <s v="F"/>
    <x v="2"/>
    <x v="0"/>
    <x v="0"/>
    <x v="19"/>
    <n v="2"/>
    <x v="10"/>
    <x v="2"/>
  </r>
  <r>
    <s v="TX501849"/>
    <x v="4"/>
    <x v="1"/>
    <n v="53.2"/>
    <n v="106.4"/>
    <x v="67"/>
    <d v="2025-03-10T00:00:00"/>
    <s v="F"/>
    <x v="1"/>
    <x v="3"/>
    <x v="0"/>
    <x v="20"/>
    <n v="1"/>
    <x v="10"/>
    <x v="2"/>
  </r>
  <r>
    <s v="TX501850"/>
    <x v="2"/>
    <x v="1"/>
    <n v="60"/>
    <n v="120"/>
    <x v="67"/>
    <d v="2025-03-15T00:00:00"/>
    <s v="M"/>
    <x v="1"/>
    <x v="2"/>
    <x v="0"/>
    <x v="20"/>
    <n v="6"/>
    <x v="10"/>
    <x v="1"/>
  </r>
  <r>
    <s v="TX501851"/>
    <x v="8"/>
    <x v="2"/>
    <n v="29.3"/>
    <n v="87.9"/>
    <x v="67"/>
    <d v="2025-03-10T00:00:00"/>
    <s v="F"/>
    <x v="4"/>
    <x v="0"/>
    <x v="0"/>
    <x v="13"/>
    <n v="1"/>
    <x v="10"/>
    <x v="2"/>
  </r>
  <r>
    <s v="TX501852"/>
    <x v="12"/>
    <x v="1"/>
    <n v="55.4"/>
    <n v="110.8"/>
    <x v="67"/>
    <d v="2025-03-10T00:00:00"/>
    <s v="F"/>
    <x v="0"/>
    <x v="2"/>
    <x v="0"/>
    <x v="21"/>
    <n v="1"/>
    <x v="10"/>
    <x v="2"/>
  </r>
  <r>
    <s v="TX501853"/>
    <x v="0"/>
    <x v="9"/>
    <n v="20.100000000000001"/>
    <n v="100.5"/>
    <x v="67"/>
    <d v="2025-03-11T00:00:00"/>
    <s v="F"/>
    <x v="1"/>
    <x v="2"/>
    <x v="0"/>
    <x v="21"/>
    <n v="2"/>
    <x v="10"/>
    <x v="2"/>
  </r>
  <r>
    <s v="TX501854"/>
    <x v="14"/>
    <x v="9"/>
    <n v="24"/>
    <n v="120"/>
    <x v="67"/>
    <d v="2025-03-12T00:00:00"/>
    <s v="M"/>
    <x v="2"/>
    <x v="0"/>
    <x v="0"/>
    <x v="1"/>
    <n v="3"/>
    <x v="10"/>
    <x v="1"/>
  </r>
  <r>
    <s v="TX501855"/>
    <x v="8"/>
    <x v="1"/>
    <n v="30.6"/>
    <n v="61.2"/>
    <x v="68"/>
    <d v="2025-03-12T00:00:00"/>
    <s v="F"/>
    <x v="0"/>
    <x v="0"/>
    <x v="0"/>
    <x v="1"/>
    <n v="2"/>
    <x v="10"/>
    <x v="2"/>
  </r>
  <r>
    <s v="TX501856"/>
    <x v="10"/>
    <x v="9"/>
    <n v="33"/>
    <n v="165"/>
    <x v="68"/>
    <d v="2025-03-11T00:00:00"/>
    <s v="M"/>
    <x v="1"/>
    <x v="1"/>
    <x v="0"/>
    <x v="27"/>
    <n v="1"/>
    <x v="10"/>
    <x v="1"/>
  </r>
  <r>
    <s v="TX501857"/>
    <x v="17"/>
    <x v="11"/>
    <n v="42.1"/>
    <n v="378.90000000000003"/>
    <x v="68"/>
    <d v="2025-03-16T00:00:00"/>
    <s v="F"/>
    <x v="2"/>
    <x v="0"/>
    <x v="0"/>
    <x v="44"/>
    <n v="6"/>
    <x v="10"/>
    <x v="2"/>
  </r>
  <r>
    <s v="TX501858"/>
    <x v="6"/>
    <x v="3"/>
    <n v="77.7"/>
    <n v="543.9"/>
    <x v="68"/>
    <d v="2025-03-15T00:00:00"/>
    <s v="F"/>
    <x v="1"/>
    <x v="2"/>
    <x v="0"/>
    <x v="50"/>
    <n v="5"/>
    <x v="10"/>
    <x v="2"/>
  </r>
  <r>
    <s v="TX501859"/>
    <x v="17"/>
    <x v="13"/>
    <n v="22.7"/>
    <n v="136.19999999999999"/>
    <x v="68"/>
    <d v="2025-03-13T00:00:00"/>
    <s v="F"/>
    <x v="2"/>
    <x v="0"/>
    <x v="0"/>
    <x v="3"/>
    <n v="3"/>
    <x v="10"/>
    <x v="2"/>
  </r>
  <r>
    <s v="TX501860"/>
    <x v="2"/>
    <x v="1"/>
    <n v="133"/>
    <n v="266"/>
    <x v="68"/>
    <d v="2025-03-10T00:00:00"/>
    <s v="M"/>
    <x v="2"/>
    <x v="2"/>
    <x v="0"/>
    <x v="3"/>
    <n v="0"/>
    <x v="10"/>
    <x v="1"/>
  </r>
  <r>
    <s v="TX501861"/>
    <x v="0"/>
    <x v="1"/>
    <n v="23.3"/>
    <n v="46.6"/>
    <x v="68"/>
    <d v="2025-03-11T00:00:00"/>
    <s v="M"/>
    <x v="1"/>
    <x v="2"/>
    <x v="0"/>
    <x v="3"/>
    <n v="1"/>
    <x v="10"/>
    <x v="1"/>
  </r>
  <r>
    <s v="TX501862"/>
    <x v="8"/>
    <x v="2"/>
    <n v="20.7"/>
    <n v="62.099999999999994"/>
    <x v="68"/>
    <d v="2025-03-12T00:00:00"/>
    <s v="O"/>
    <x v="0"/>
    <x v="2"/>
    <x v="0"/>
    <x v="3"/>
    <n v="2"/>
    <x v="10"/>
    <x v="3"/>
  </r>
  <r>
    <s v="TX501863"/>
    <x v="12"/>
    <x v="1"/>
    <n v="47"/>
    <n v="94"/>
    <x v="68"/>
    <d v="2025-03-11T00:00:00"/>
    <s v="M"/>
    <x v="1"/>
    <x v="2"/>
    <x v="0"/>
    <x v="3"/>
    <n v="1"/>
    <x v="10"/>
    <x v="1"/>
  </r>
  <r>
    <s v="TX501864"/>
    <x v="12"/>
    <x v="2"/>
    <n v="38.200000000000003"/>
    <n v="114.60000000000001"/>
    <x v="68"/>
    <d v="2025-03-12T00:00:00"/>
    <s v="F"/>
    <x v="2"/>
    <x v="4"/>
    <x v="0"/>
    <x v="3"/>
    <n v="2"/>
    <x v="10"/>
    <x v="2"/>
  </r>
  <r>
    <s v="TX501865"/>
    <x v="9"/>
    <x v="0"/>
    <n v="39.1"/>
    <n v="39.1"/>
    <x v="68"/>
    <d v="2025-03-12T00:00:00"/>
    <s v="F"/>
    <x v="0"/>
    <x v="0"/>
    <x v="0"/>
    <x v="3"/>
    <n v="2"/>
    <x v="10"/>
    <x v="2"/>
  </r>
  <r>
    <s v="TX501866"/>
    <x v="7"/>
    <x v="30"/>
    <n v="55.6"/>
    <n v="1390"/>
    <x v="68"/>
    <d v="2025-03-12T00:00:00"/>
    <s v="M"/>
    <x v="0"/>
    <x v="2"/>
    <x v="0"/>
    <x v="3"/>
    <n v="2"/>
    <x v="10"/>
    <x v="1"/>
  </r>
  <r>
    <s v="TX501867"/>
    <x v="15"/>
    <x v="0"/>
    <n v="43.1"/>
    <n v="43.1"/>
    <x v="68"/>
    <d v="2025-03-10T00:00:00"/>
    <s v="O"/>
    <x v="1"/>
    <x v="2"/>
    <x v="0"/>
    <x v="3"/>
    <n v="0"/>
    <x v="10"/>
    <x v="3"/>
  </r>
  <r>
    <s v="TX501868"/>
    <x v="6"/>
    <x v="12"/>
    <n v="48.1"/>
    <n v="192.4"/>
    <x v="68"/>
    <d v="2025-03-11T00:00:00"/>
    <s v="F"/>
    <x v="4"/>
    <x v="2"/>
    <x v="0"/>
    <x v="3"/>
    <n v="1"/>
    <x v="10"/>
    <x v="2"/>
  </r>
  <r>
    <s v="TX501869"/>
    <x v="4"/>
    <x v="0"/>
    <n v="42"/>
    <n v="42"/>
    <x v="68"/>
    <d v="2025-03-11T00:00:00"/>
    <s v="O"/>
    <x v="0"/>
    <x v="0"/>
    <x v="0"/>
    <x v="3"/>
    <n v="1"/>
    <x v="10"/>
    <x v="3"/>
  </r>
  <r>
    <s v="TX501870"/>
    <x v="8"/>
    <x v="9"/>
    <n v="18.3"/>
    <n v="91.5"/>
    <x v="68"/>
    <d v="2025-03-10T00:00:00"/>
    <s v="F"/>
    <x v="2"/>
    <x v="0"/>
    <x v="0"/>
    <x v="3"/>
    <n v="0"/>
    <x v="10"/>
    <x v="2"/>
  </r>
  <r>
    <s v="TX501871"/>
    <x v="10"/>
    <x v="12"/>
    <n v="45.3"/>
    <n v="181.2"/>
    <x v="68"/>
    <d v="2025-03-13T00:00:00"/>
    <s v="F"/>
    <x v="0"/>
    <x v="2"/>
    <x v="0"/>
    <x v="3"/>
    <n v="3"/>
    <x v="10"/>
    <x v="2"/>
  </r>
  <r>
    <s v="TX501872"/>
    <x v="0"/>
    <x v="1"/>
    <n v="27.6"/>
    <n v="55.2"/>
    <x v="68"/>
    <d v="2025-03-12T00:00:00"/>
    <s v="M"/>
    <x v="0"/>
    <x v="2"/>
    <x v="0"/>
    <x v="37"/>
    <n v="2"/>
    <x v="10"/>
    <x v="1"/>
  </r>
  <r>
    <s v="TX501873"/>
    <x v="4"/>
    <x v="9"/>
    <n v="26.9"/>
    <n v="134.5"/>
    <x v="68"/>
    <d v="2025-03-11T00:00:00"/>
    <s v="F"/>
    <x v="2"/>
    <x v="0"/>
    <x v="0"/>
    <x v="25"/>
    <n v="1"/>
    <x v="10"/>
    <x v="2"/>
  </r>
  <r>
    <s v="TX501874"/>
    <x v="2"/>
    <x v="11"/>
    <n v="82.4"/>
    <n v="741.6"/>
    <x v="68"/>
    <d v="2025-03-12T00:00:00"/>
    <s v="O"/>
    <x v="2"/>
    <x v="0"/>
    <x v="0"/>
    <x v="5"/>
    <n v="2"/>
    <x v="10"/>
    <x v="3"/>
  </r>
  <r>
    <s v="TX501875"/>
    <x v="6"/>
    <x v="0"/>
    <n v="103.7"/>
    <n v="103.7"/>
    <x v="68"/>
    <d v="2025-03-12T00:00:00"/>
    <s v="F"/>
    <x v="1"/>
    <x v="0"/>
    <x v="0"/>
    <x v="5"/>
    <n v="2"/>
    <x v="10"/>
    <x v="2"/>
  </r>
  <r>
    <s v="TX501876"/>
    <x v="2"/>
    <x v="1"/>
    <n v="58.8"/>
    <n v="117.6"/>
    <x v="68"/>
    <d v="2025-03-15T00:00:00"/>
    <s v="F"/>
    <x v="1"/>
    <x v="2"/>
    <x v="0"/>
    <x v="6"/>
    <n v="5"/>
    <x v="10"/>
    <x v="2"/>
  </r>
  <r>
    <s v="TX501877"/>
    <x v="13"/>
    <x v="0"/>
    <n v="31.5"/>
    <n v="31.5"/>
    <x v="68"/>
    <d v="2025-03-11T00:00:00"/>
    <s v="F"/>
    <x v="1"/>
    <x v="1"/>
    <x v="0"/>
    <x v="6"/>
    <n v="1"/>
    <x v="10"/>
    <x v="2"/>
  </r>
  <r>
    <s v="TX501878"/>
    <x v="7"/>
    <x v="9"/>
    <n v="36.799999999999997"/>
    <n v="184"/>
    <x v="68"/>
    <d v="2025-03-12T00:00:00"/>
    <s v="F"/>
    <x v="0"/>
    <x v="0"/>
    <x v="0"/>
    <x v="8"/>
    <n v="2"/>
    <x v="10"/>
    <x v="2"/>
  </r>
  <r>
    <s v="TX501879"/>
    <x v="3"/>
    <x v="0"/>
    <n v="84.4"/>
    <n v="84.4"/>
    <x v="68"/>
    <d v="2025-03-11T00:00:00"/>
    <s v="F"/>
    <x v="0"/>
    <x v="0"/>
    <x v="0"/>
    <x v="8"/>
    <n v="1"/>
    <x v="10"/>
    <x v="2"/>
  </r>
  <r>
    <s v="TX501880"/>
    <x v="14"/>
    <x v="0"/>
    <n v="44.7"/>
    <n v="44.7"/>
    <x v="68"/>
    <d v="2025-03-11T00:00:00"/>
    <s v="M"/>
    <x v="0"/>
    <x v="1"/>
    <x v="0"/>
    <x v="8"/>
    <n v="1"/>
    <x v="10"/>
    <x v="1"/>
  </r>
  <r>
    <s v="TX501881"/>
    <x v="9"/>
    <x v="8"/>
    <n v="39.4"/>
    <n v="315.2"/>
    <x v="68"/>
    <d v="2025-03-11T00:00:00"/>
    <s v="F"/>
    <x v="1"/>
    <x v="2"/>
    <x v="0"/>
    <x v="8"/>
    <n v="1"/>
    <x v="10"/>
    <x v="2"/>
  </r>
  <r>
    <s v="TX501882"/>
    <x v="11"/>
    <x v="12"/>
    <n v="34.9"/>
    <n v="139.6"/>
    <x v="68"/>
    <d v="2025-03-12T00:00:00"/>
    <s v="F"/>
    <x v="0"/>
    <x v="2"/>
    <x v="0"/>
    <x v="8"/>
    <n v="2"/>
    <x v="10"/>
    <x v="2"/>
  </r>
  <r>
    <s v="TX501883"/>
    <x v="1"/>
    <x v="2"/>
    <n v="62.3"/>
    <n v="186.89999999999998"/>
    <x v="68"/>
    <d v="2025-03-12T00:00:00"/>
    <s v="M"/>
    <x v="4"/>
    <x v="2"/>
    <x v="0"/>
    <x v="8"/>
    <n v="2"/>
    <x v="10"/>
    <x v="1"/>
  </r>
  <r>
    <s v="TX501884"/>
    <x v="8"/>
    <x v="12"/>
    <n v="21.1"/>
    <n v="84.4"/>
    <x v="68"/>
    <d v="2025-03-13T00:00:00"/>
    <s v="M"/>
    <x v="3"/>
    <x v="0"/>
    <x v="0"/>
    <x v="8"/>
    <n v="3"/>
    <x v="10"/>
    <x v="1"/>
  </r>
  <r>
    <s v="TX501885"/>
    <x v="8"/>
    <x v="2"/>
    <n v="33.200000000000003"/>
    <n v="99.600000000000009"/>
    <x v="68"/>
    <d v="2025-03-24T00:00:00"/>
    <s v=""/>
    <x v="0"/>
    <x v="4"/>
    <x v="0"/>
    <x v="8"/>
    <n v="14"/>
    <x v="10"/>
    <x v="0"/>
  </r>
  <r>
    <s v="TX501886"/>
    <x v="1"/>
    <x v="12"/>
    <n v="74.5"/>
    <n v="298"/>
    <x v="68"/>
    <d v="2025-03-11T00:00:00"/>
    <s v="M"/>
    <x v="4"/>
    <x v="0"/>
    <x v="0"/>
    <x v="8"/>
    <n v="1"/>
    <x v="10"/>
    <x v="1"/>
  </r>
  <r>
    <s v="TX501887"/>
    <x v="10"/>
    <x v="4"/>
    <n v="68.599999999999994"/>
    <n v="823.19999999999993"/>
    <x v="68"/>
    <d v="2025-03-13T00:00:00"/>
    <s v="F"/>
    <x v="0"/>
    <x v="2"/>
    <x v="0"/>
    <x v="8"/>
    <n v="3"/>
    <x v="10"/>
    <x v="2"/>
  </r>
  <r>
    <s v="TX501888"/>
    <x v="5"/>
    <x v="21"/>
    <n v="36.4"/>
    <n v="509.59999999999997"/>
    <x v="68"/>
    <d v="2025-03-12T00:00:00"/>
    <s v="F"/>
    <x v="0"/>
    <x v="1"/>
    <x v="0"/>
    <x v="9"/>
    <n v="2"/>
    <x v="10"/>
    <x v="2"/>
  </r>
  <r>
    <s v="TX501889"/>
    <x v="16"/>
    <x v="9"/>
    <n v="67.599999999999994"/>
    <n v="338"/>
    <x v="69"/>
    <d v="2025-03-14T00:00:00"/>
    <s v="F"/>
    <x v="4"/>
    <x v="1"/>
    <x v="0"/>
    <x v="9"/>
    <n v="3"/>
    <x v="10"/>
    <x v="2"/>
  </r>
  <r>
    <s v="TX501890"/>
    <x v="15"/>
    <x v="0"/>
    <n v="46.3"/>
    <n v="46.3"/>
    <x v="69"/>
    <d v="2025-03-12T00:00:00"/>
    <s v="M"/>
    <x v="2"/>
    <x v="0"/>
    <x v="0"/>
    <x v="9"/>
    <n v="1"/>
    <x v="10"/>
    <x v="1"/>
  </r>
  <r>
    <s v="TX501891"/>
    <x v="1"/>
    <x v="2"/>
    <n v="124.2"/>
    <n v="372.6"/>
    <x v="69"/>
    <d v="2025-03-13T00:00:00"/>
    <s v="F"/>
    <x v="1"/>
    <x v="2"/>
    <x v="0"/>
    <x v="11"/>
    <n v="2"/>
    <x v="10"/>
    <x v="2"/>
  </r>
  <r>
    <s v="TX501892"/>
    <x v="10"/>
    <x v="1"/>
    <n v="37"/>
    <n v="74"/>
    <x v="69"/>
    <d v="2025-03-17T00:00:00"/>
    <s v="M"/>
    <x v="0"/>
    <x v="0"/>
    <x v="0"/>
    <x v="11"/>
    <n v="6"/>
    <x v="10"/>
    <x v="1"/>
  </r>
  <r>
    <s v="TX501893"/>
    <x v="5"/>
    <x v="0"/>
    <n v="41.8"/>
    <n v="41.8"/>
    <x v="69"/>
    <d v="2025-03-12T00:00:00"/>
    <s v="M"/>
    <x v="2"/>
    <x v="0"/>
    <x v="0"/>
    <x v="31"/>
    <n v="1"/>
    <x v="10"/>
    <x v="1"/>
  </r>
  <r>
    <s v="TX501894"/>
    <x v="9"/>
    <x v="1"/>
    <n v="57.2"/>
    <n v="114.4"/>
    <x v="69"/>
    <d v="2025-03-13T00:00:00"/>
    <s v="M"/>
    <x v="2"/>
    <x v="1"/>
    <x v="0"/>
    <x v="20"/>
    <n v="2"/>
    <x v="10"/>
    <x v="1"/>
  </r>
  <r>
    <s v="TX501895"/>
    <x v="6"/>
    <x v="1"/>
    <n v="47.1"/>
    <n v="94.2"/>
    <x v="69"/>
    <d v="2025-03-13T00:00:00"/>
    <s v="F"/>
    <x v="0"/>
    <x v="4"/>
    <x v="0"/>
    <x v="20"/>
    <n v="2"/>
    <x v="10"/>
    <x v="2"/>
  </r>
  <r>
    <s v="TX501896"/>
    <x v="5"/>
    <x v="2"/>
    <n v="86.4"/>
    <n v="259.20000000000005"/>
    <x v="69"/>
    <d v="2025-03-12T00:00:00"/>
    <s v="M"/>
    <x v="2"/>
    <x v="1"/>
    <x v="0"/>
    <x v="52"/>
    <n v="1"/>
    <x v="10"/>
    <x v="1"/>
  </r>
  <r>
    <s v="TX501897"/>
    <x v="6"/>
    <x v="9"/>
    <n v="105"/>
    <n v="525"/>
    <x v="69"/>
    <d v="2025-03-14T00:00:00"/>
    <s v="M"/>
    <x v="0"/>
    <x v="0"/>
    <x v="0"/>
    <x v="13"/>
    <n v="3"/>
    <x v="10"/>
    <x v="1"/>
  </r>
  <r>
    <s v="TX501898"/>
    <x v="18"/>
    <x v="0"/>
    <n v="33"/>
    <n v="33"/>
    <x v="69"/>
    <d v="2025-03-14T00:00:00"/>
    <s v="M"/>
    <x v="4"/>
    <x v="0"/>
    <x v="0"/>
    <x v="21"/>
    <n v="3"/>
    <x v="10"/>
    <x v="1"/>
  </r>
  <r>
    <s v="TX501899"/>
    <x v="6"/>
    <x v="9"/>
    <n v="106.6"/>
    <n v="533"/>
    <x v="69"/>
    <d v="2025-03-24T00:00:00"/>
    <s v="F"/>
    <x v="2"/>
    <x v="0"/>
    <x v="0"/>
    <x v="1"/>
    <n v="13"/>
    <x v="10"/>
    <x v="2"/>
  </r>
  <r>
    <s v="TX501900"/>
    <x v="10"/>
    <x v="46"/>
    <n v="26.8"/>
    <n v="857.6"/>
    <x v="69"/>
    <d v="2025-03-12T00:00:00"/>
    <s v="F"/>
    <x v="2"/>
    <x v="0"/>
    <x v="0"/>
    <x v="1"/>
    <n v="1"/>
    <x v="10"/>
    <x v="2"/>
  </r>
  <r>
    <s v="TX501901"/>
    <x v="17"/>
    <x v="9"/>
    <n v="25.8"/>
    <n v="129"/>
    <x v="69"/>
    <d v="2025-03-11T00:00:00"/>
    <s v="F"/>
    <x v="1"/>
    <x v="2"/>
    <x v="0"/>
    <x v="3"/>
    <n v="0"/>
    <x v="10"/>
    <x v="2"/>
  </r>
  <r>
    <s v="TX501902"/>
    <x v="2"/>
    <x v="2"/>
    <n v="217"/>
    <n v="651"/>
    <x v="69"/>
    <d v="2025-03-12T00:00:00"/>
    <s v="F"/>
    <x v="1"/>
    <x v="1"/>
    <x v="0"/>
    <x v="3"/>
    <n v="1"/>
    <x v="10"/>
    <x v="2"/>
  </r>
  <r>
    <s v="TX501903"/>
    <x v="2"/>
    <x v="1"/>
    <n v="97.3"/>
    <n v="194.6"/>
    <x v="69"/>
    <d v="2025-03-12T00:00:00"/>
    <s v="M"/>
    <x v="2"/>
    <x v="4"/>
    <x v="0"/>
    <x v="3"/>
    <n v="1"/>
    <x v="10"/>
    <x v="1"/>
  </r>
  <r>
    <s v="TX501904"/>
    <x v="1"/>
    <x v="0"/>
    <n v="49.8"/>
    <n v="49.8"/>
    <x v="69"/>
    <d v="2025-03-12T00:00:00"/>
    <s v="F"/>
    <x v="0"/>
    <x v="0"/>
    <x v="0"/>
    <x v="3"/>
    <n v="1"/>
    <x v="10"/>
    <x v="2"/>
  </r>
  <r>
    <s v="TX501905"/>
    <x v="12"/>
    <x v="9"/>
    <n v="32.6"/>
    <n v="163"/>
    <x v="69"/>
    <d v="2025-03-12T00:00:00"/>
    <s v="F"/>
    <x v="0"/>
    <x v="0"/>
    <x v="0"/>
    <x v="3"/>
    <n v="1"/>
    <x v="10"/>
    <x v="2"/>
  </r>
  <r>
    <s v="TX501906"/>
    <x v="9"/>
    <x v="1"/>
    <n v="40.1"/>
    <n v="80.2"/>
    <x v="69"/>
    <d v="2025-03-14T00:00:00"/>
    <s v="M"/>
    <x v="1"/>
    <x v="2"/>
    <x v="0"/>
    <x v="3"/>
    <n v="3"/>
    <x v="10"/>
    <x v="1"/>
  </r>
  <r>
    <s v="TX501907"/>
    <x v="10"/>
    <x v="1"/>
    <n v="49.4"/>
    <n v="98.8"/>
    <x v="69"/>
    <d v="2025-03-13T00:00:00"/>
    <s v="M"/>
    <x v="1"/>
    <x v="0"/>
    <x v="0"/>
    <x v="3"/>
    <n v="2"/>
    <x v="10"/>
    <x v="1"/>
  </r>
  <r>
    <s v="TX501908"/>
    <x v="2"/>
    <x v="0"/>
    <n v="67.3"/>
    <n v="67.3"/>
    <x v="69"/>
    <d v="2025-03-12T00:00:00"/>
    <s v="F"/>
    <x v="0"/>
    <x v="2"/>
    <x v="0"/>
    <x v="3"/>
    <n v="1"/>
    <x v="10"/>
    <x v="2"/>
  </r>
  <r>
    <s v="TX501909"/>
    <x v="18"/>
    <x v="12"/>
    <n v="44.5"/>
    <n v="178"/>
    <x v="69"/>
    <d v="2025-03-14T00:00:00"/>
    <s v=""/>
    <x v="1"/>
    <x v="0"/>
    <x v="0"/>
    <x v="3"/>
    <n v="3"/>
    <x v="10"/>
    <x v="0"/>
  </r>
  <r>
    <s v="TX501910"/>
    <x v="6"/>
    <x v="5"/>
    <n v="111.1"/>
    <n v="1222.0999999999999"/>
    <x v="69"/>
    <d v="2025-03-12T00:00:00"/>
    <s v="F"/>
    <x v="4"/>
    <x v="0"/>
    <x v="0"/>
    <x v="3"/>
    <n v="1"/>
    <x v="10"/>
    <x v="2"/>
  </r>
  <r>
    <s v="TX501911"/>
    <x v="8"/>
    <x v="2"/>
    <n v="19.7"/>
    <n v="59.099999999999994"/>
    <x v="69"/>
    <d v="2025-03-12T00:00:00"/>
    <s v="F"/>
    <x v="4"/>
    <x v="4"/>
    <x v="0"/>
    <x v="3"/>
    <n v="1"/>
    <x v="10"/>
    <x v="2"/>
  </r>
  <r>
    <s v="TX501912"/>
    <x v="1"/>
    <x v="0"/>
    <n v="40.299999999999997"/>
    <n v="40.299999999999997"/>
    <x v="69"/>
    <d v="2025-03-12T00:00:00"/>
    <s v="O"/>
    <x v="1"/>
    <x v="0"/>
    <x v="0"/>
    <x v="3"/>
    <n v="1"/>
    <x v="10"/>
    <x v="3"/>
  </r>
  <r>
    <s v="TX501913"/>
    <x v="6"/>
    <x v="1"/>
    <n v="108.8"/>
    <n v="217.6"/>
    <x v="69"/>
    <d v="2025-03-16T00:00:00"/>
    <s v="M"/>
    <x v="0"/>
    <x v="2"/>
    <x v="0"/>
    <x v="6"/>
    <n v="5"/>
    <x v="10"/>
    <x v="1"/>
  </r>
  <r>
    <s v="TX501914"/>
    <x v="8"/>
    <x v="2"/>
    <n v="48.2"/>
    <n v="144.60000000000002"/>
    <x v="69"/>
    <d v="2025-03-16T00:00:00"/>
    <s v="F"/>
    <x v="4"/>
    <x v="0"/>
    <x v="0"/>
    <x v="7"/>
    <n v="5"/>
    <x v="10"/>
    <x v="2"/>
  </r>
  <r>
    <s v="TX501915"/>
    <x v="2"/>
    <x v="2"/>
    <n v="104.7"/>
    <n v="314.10000000000002"/>
    <x v="69"/>
    <d v="2025-03-13T00:00:00"/>
    <s v="F"/>
    <x v="0"/>
    <x v="1"/>
    <x v="0"/>
    <x v="7"/>
    <n v="2"/>
    <x v="10"/>
    <x v="2"/>
  </r>
  <r>
    <s v="TX501916"/>
    <x v="1"/>
    <x v="1"/>
    <n v="80.599999999999994"/>
    <n v="161.19999999999999"/>
    <x v="69"/>
    <d v="2025-03-11T00:00:00"/>
    <s v="F"/>
    <x v="1"/>
    <x v="0"/>
    <x v="0"/>
    <x v="8"/>
    <n v="0"/>
    <x v="10"/>
    <x v="2"/>
  </r>
  <r>
    <s v="TX501917"/>
    <x v="6"/>
    <x v="0"/>
    <n v="65.5"/>
    <n v="65.5"/>
    <x v="69"/>
    <d v="2025-03-13T00:00:00"/>
    <s v="O"/>
    <x v="1"/>
    <x v="0"/>
    <x v="0"/>
    <x v="8"/>
    <n v="2"/>
    <x v="10"/>
    <x v="3"/>
  </r>
  <r>
    <s v="TX501918"/>
    <x v="9"/>
    <x v="2"/>
    <n v="61.4"/>
    <n v="184.2"/>
    <x v="69"/>
    <d v="2025-03-13T00:00:00"/>
    <s v="F"/>
    <x v="4"/>
    <x v="2"/>
    <x v="0"/>
    <x v="8"/>
    <n v="2"/>
    <x v="10"/>
    <x v="2"/>
  </r>
  <r>
    <s v="TX501919"/>
    <x v="0"/>
    <x v="0"/>
    <n v="12.5"/>
    <n v="12.5"/>
    <x v="70"/>
    <d v="2025-03-15T00:00:00"/>
    <s v="F"/>
    <x v="0"/>
    <x v="1"/>
    <x v="0"/>
    <x v="8"/>
    <n v="3"/>
    <x v="10"/>
    <x v="2"/>
  </r>
  <r>
    <s v="TX501920"/>
    <x v="4"/>
    <x v="12"/>
    <n v="35.1"/>
    <n v="140.4"/>
    <x v="70"/>
    <d v="2025-03-13T00:00:00"/>
    <s v="M"/>
    <x v="2"/>
    <x v="1"/>
    <x v="0"/>
    <x v="17"/>
    <n v="1"/>
    <x v="10"/>
    <x v="1"/>
  </r>
  <r>
    <s v="TX501921"/>
    <x v="5"/>
    <x v="1"/>
    <n v="55.7"/>
    <n v="111.4"/>
    <x v="70"/>
    <d v="2025-03-13T00:00:00"/>
    <s v="M"/>
    <x v="0"/>
    <x v="1"/>
    <x v="0"/>
    <x v="26"/>
    <n v="1"/>
    <x v="10"/>
    <x v="1"/>
  </r>
  <r>
    <s v="TX501922"/>
    <x v="7"/>
    <x v="1"/>
    <n v="57.7"/>
    <n v="115.4"/>
    <x v="70"/>
    <d v="2025-03-14T00:00:00"/>
    <s v="M"/>
    <x v="4"/>
    <x v="1"/>
    <x v="0"/>
    <x v="9"/>
    <n v="2"/>
    <x v="10"/>
    <x v="1"/>
  </r>
  <r>
    <s v="TX501923"/>
    <x v="2"/>
    <x v="13"/>
    <n v="85.7"/>
    <n v="514.20000000000005"/>
    <x v="70"/>
    <d v="2025-03-13T00:00:00"/>
    <s v="M"/>
    <x v="3"/>
    <x v="2"/>
    <x v="0"/>
    <x v="9"/>
    <n v="1"/>
    <x v="10"/>
    <x v="1"/>
  </r>
  <r>
    <s v="TX501924"/>
    <x v="2"/>
    <x v="2"/>
    <n v="86.9"/>
    <n v="260.70000000000005"/>
    <x v="70"/>
    <d v="2025-03-14T00:00:00"/>
    <s v="F"/>
    <x v="1"/>
    <x v="0"/>
    <x v="0"/>
    <x v="11"/>
    <n v="2"/>
    <x v="10"/>
    <x v="2"/>
  </r>
  <r>
    <s v="TX501925"/>
    <x v="18"/>
    <x v="1"/>
    <n v="46.4"/>
    <n v="92.8"/>
    <x v="70"/>
    <d v="2025-03-15T00:00:00"/>
    <s v="F"/>
    <x v="4"/>
    <x v="0"/>
    <x v="0"/>
    <x v="11"/>
    <n v="3"/>
    <x v="10"/>
    <x v="2"/>
  </r>
  <r>
    <s v="TX501926"/>
    <x v="5"/>
    <x v="2"/>
    <n v="25.4"/>
    <n v="76.199999999999989"/>
    <x v="70"/>
    <d v="2025-03-12T00:00:00"/>
    <s v="F"/>
    <x v="2"/>
    <x v="2"/>
    <x v="0"/>
    <x v="18"/>
    <n v="0"/>
    <x v="10"/>
    <x v="2"/>
  </r>
  <r>
    <s v="TX501927"/>
    <x v="10"/>
    <x v="2"/>
    <n v="47.8"/>
    <n v="143.39999999999998"/>
    <x v="70"/>
    <d v="2025-03-12T00:00:00"/>
    <s v=""/>
    <x v="2"/>
    <x v="2"/>
    <x v="0"/>
    <x v="19"/>
    <n v="0"/>
    <x v="10"/>
    <x v="0"/>
  </r>
  <r>
    <s v="TX501928"/>
    <x v="8"/>
    <x v="10"/>
    <n v="18.399999999999999"/>
    <n v="349.59999999999997"/>
    <x v="70"/>
    <d v="2025-03-14T00:00:00"/>
    <s v="O"/>
    <x v="2"/>
    <x v="0"/>
    <x v="0"/>
    <x v="20"/>
    <n v="2"/>
    <x v="10"/>
    <x v="3"/>
  </r>
  <r>
    <s v="TX501929"/>
    <x v="12"/>
    <x v="2"/>
    <n v="65.5"/>
    <n v="196.5"/>
    <x v="70"/>
    <d v="2025-03-20T00:00:00"/>
    <s v="F"/>
    <x v="0"/>
    <x v="0"/>
    <x v="0"/>
    <x v="21"/>
    <n v="8"/>
    <x v="10"/>
    <x v="2"/>
  </r>
  <r>
    <s v="TX501930"/>
    <x v="10"/>
    <x v="1"/>
    <n v="50.6"/>
    <n v="101.2"/>
    <x v="70"/>
    <d v="2025-03-15T00:00:00"/>
    <s v="M"/>
    <x v="2"/>
    <x v="4"/>
    <x v="0"/>
    <x v="21"/>
    <n v="3"/>
    <x v="10"/>
    <x v="1"/>
  </r>
  <r>
    <s v="TX501931"/>
    <x v="3"/>
    <x v="9"/>
    <n v="69"/>
    <n v="345"/>
    <x v="70"/>
    <d v="2025-03-16T00:00:00"/>
    <s v="M"/>
    <x v="3"/>
    <x v="0"/>
    <x v="0"/>
    <x v="21"/>
    <n v="4"/>
    <x v="10"/>
    <x v="1"/>
  </r>
  <r>
    <s v="TX501932"/>
    <x v="9"/>
    <x v="8"/>
    <n v="51.1"/>
    <n v="408.8"/>
    <x v="70"/>
    <d v="2025-03-14T00:00:00"/>
    <s v="F"/>
    <x v="0"/>
    <x v="0"/>
    <x v="0"/>
    <x v="1"/>
    <n v="2"/>
    <x v="10"/>
    <x v="2"/>
  </r>
  <r>
    <s v="TX501933"/>
    <x v="9"/>
    <x v="0"/>
    <n v="36.1"/>
    <n v="36.1"/>
    <x v="70"/>
    <d v="2025-03-13T00:00:00"/>
    <s v="F"/>
    <x v="0"/>
    <x v="2"/>
    <x v="0"/>
    <x v="34"/>
    <n v="1"/>
    <x v="10"/>
    <x v="2"/>
  </r>
  <r>
    <s v="TX501934"/>
    <x v="14"/>
    <x v="0"/>
    <n v="18.7"/>
    <n v="18.7"/>
    <x v="70"/>
    <d v="2025-03-13T00:00:00"/>
    <s v="M"/>
    <x v="0"/>
    <x v="0"/>
    <x v="0"/>
    <x v="3"/>
    <n v="1"/>
    <x v="10"/>
    <x v="1"/>
  </r>
  <r>
    <s v="TX501935"/>
    <x v="17"/>
    <x v="0"/>
    <n v="30.1"/>
    <n v="30.1"/>
    <x v="70"/>
    <d v="2025-03-15T00:00:00"/>
    <s v="F"/>
    <x v="3"/>
    <x v="1"/>
    <x v="0"/>
    <x v="3"/>
    <n v="3"/>
    <x v="10"/>
    <x v="2"/>
  </r>
  <r>
    <s v="TX501936"/>
    <x v="8"/>
    <x v="0"/>
    <n v="16.3"/>
    <n v="16.3"/>
    <x v="70"/>
    <d v="2025-03-13T00:00:00"/>
    <s v="M"/>
    <x v="3"/>
    <x v="0"/>
    <x v="0"/>
    <x v="3"/>
    <n v="1"/>
    <x v="10"/>
    <x v="1"/>
  </r>
  <r>
    <s v="TX501937"/>
    <x v="1"/>
    <x v="2"/>
    <n v="63.8"/>
    <n v="191.39999999999998"/>
    <x v="70"/>
    <d v="2025-03-17T00:00:00"/>
    <s v="F"/>
    <x v="2"/>
    <x v="1"/>
    <x v="0"/>
    <x v="3"/>
    <n v="5"/>
    <x v="10"/>
    <x v="2"/>
  </r>
  <r>
    <s v="TX501938"/>
    <x v="1"/>
    <x v="3"/>
    <n v="73.900000000000006"/>
    <n v="517.30000000000007"/>
    <x v="70"/>
    <d v="2025-03-12T00:00:00"/>
    <s v="F"/>
    <x v="0"/>
    <x v="1"/>
    <x v="0"/>
    <x v="3"/>
    <n v="0"/>
    <x v="10"/>
    <x v="2"/>
  </r>
  <r>
    <s v="TX501939"/>
    <x v="0"/>
    <x v="1"/>
    <n v="20.2"/>
    <n v="40.4"/>
    <x v="70"/>
    <d v="2025-03-13T00:00:00"/>
    <s v="M"/>
    <x v="0"/>
    <x v="1"/>
    <x v="0"/>
    <x v="3"/>
    <n v="1"/>
    <x v="10"/>
    <x v="1"/>
  </r>
  <r>
    <s v="TX501940"/>
    <x v="11"/>
    <x v="5"/>
    <n v="29.5"/>
    <n v="324.5"/>
    <x v="70"/>
    <d v="2025-03-13T00:00:00"/>
    <s v="M"/>
    <x v="0"/>
    <x v="0"/>
    <x v="0"/>
    <x v="3"/>
    <n v="1"/>
    <x v="10"/>
    <x v="1"/>
  </r>
  <r>
    <s v="TX501941"/>
    <x v="15"/>
    <x v="3"/>
    <n v="37.9"/>
    <n v="265.3"/>
    <x v="70"/>
    <d v="2025-03-13T00:00:00"/>
    <s v="M"/>
    <x v="1"/>
    <x v="0"/>
    <x v="0"/>
    <x v="3"/>
    <n v="1"/>
    <x v="10"/>
    <x v="1"/>
  </r>
  <r>
    <s v="TX501942"/>
    <x v="2"/>
    <x v="0"/>
    <n v="56.5"/>
    <n v="56.5"/>
    <x v="70"/>
    <d v="2025-03-13T00:00:00"/>
    <s v="F"/>
    <x v="2"/>
    <x v="1"/>
    <x v="0"/>
    <x v="3"/>
    <n v="1"/>
    <x v="10"/>
    <x v="2"/>
  </r>
  <r>
    <s v="TX501943"/>
    <x v="2"/>
    <x v="1"/>
    <n v="66.900000000000006"/>
    <n v="133.80000000000001"/>
    <x v="70"/>
    <d v="2025-03-18T00:00:00"/>
    <s v="M"/>
    <x v="1"/>
    <x v="4"/>
    <x v="0"/>
    <x v="25"/>
    <n v="6"/>
    <x v="10"/>
    <x v="1"/>
  </r>
  <r>
    <s v="TX501944"/>
    <x v="2"/>
    <x v="9"/>
    <n v="51.9"/>
    <n v="259.5"/>
    <x v="70"/>
    <d v="2025-03-15T00:00:00"/>
    <s v="M"/>
    <x v="1"/>
    <x v="0"/>
    <x v="0"/>
    <x v="7"/>
    <n v="3"/>
    <x v="10"/>
    <x v="1"/>
  </r>
  <r>
    <s v="TX501945"/>
    <x v="2"/>
    <x v="1"/>
    <n v="75.599999999999994"/>
    <n v="151.19999999999999"/>
    <x v="70"/>
    <d v="2025-03-15T00:00:00"/>
    <s v="M"/>
    <x v="1"/>
    <x v="0"/>
    <x v="0"/>
    <x v="8"/>
    <n v="3"/>
    <x v="10"/>
    <x v="1"/>
  </r>
  <r>
    <s v="TX501946"/>
    <x v="12"/>
    <x v="13"/>
    <n v="47.3"/>
    <n v="283.79999999999995"/>
    <x v="70"/>
    <d v="2025-03-23T00:00:00"/>
    <s v="M"/>
    <x v="0"/>
    <x v="0"/>
    <x v="0"/>
    <x v="8"/>
    <n v="11"/>
    <x v="10"/>
    <x v="1"/>
  </r>
  <r>
    <s v="TX501947"/>
    <x v="4"/>
    <x v="0"/>
    <n v="20.6"/>
    <n v="20.6"/>
    <x v="70"/>
    <d v="2025-03-13T00:00:00"/>
    <s v=""/>
    <x v="0"/>
    <x v="1"/>
    <x v="0"/>
    <x v="8"/>
    <n v="1"/>
    <x v="10"/>
    <x v="0"/>
  </r>
  <r>
    <s v="TX501948"/>
    <x v="6"/>
    <x v="2"/>
    <n v="49.7"/>
    <n v="149.10000000000002"/>
    <x v="70"/>
    <d v="2025-03-14T00:00:00"/>
    <s v="M"/>
    <x v="0"/>
    <x v="1"/>
    <x v="0"/>
    <x v="8"/>
    <n v="2"/>
    <x v="10"/>
    <x v="1"/>
  </r>
  <r>
    <s v="TX501949"/>
    <x v="3"/>
    <x v="0"/>
    <n v="37.9"/>
    <n v="37.9"/>
    <x v="70"/>
    <d v="2025-03-14T00:00:00"/>
    <s v="F"/>
    <x v="0"/>
    <x v="0"/>
    <x v="0"/>
    <x v="8"/>
    <n v="2"/>
    <x v="10"/>
    <x v="2"/>
  </r>
  <r>
    <s v="TX501950"/>
    <x v="13"/>
    <x v="20"/>
    <n v="32"/>
    <n v="480"/>
    <x v="70"/>
    <d v="2025-03-14T00:00:00"/>
    <s v="F"/>
    <x v="4"/>
    <x v="0"/>
    <x v="0"/>
    <x v="11"/>
    <n v="2"/>
    <x v="10"/>
    <x v="2"/>
  </r>
  <r>
    <s v="TX501951"/>
    <x v="10"/>
    <x v="16"/>
    <n v="38.5"/>
    <n v="693"/>
    <x v="71"/>
    <d v="2025-03-14T00:00:00"/>
    <s v="M"/>
    <x v="0"/>
    <x v="2"/>
    <x v="0"/>
    <x v="11"/>
    <n v="1"/>
    <x v="10"/>
    <x v="1"/>
  </r>
  <r>
    <s v="TX501952"/>
    <x v="0"/>
    <x v="12"/>
    <n v="11.7"/>
    <n v="46.8"/>
    <x v="71"/>
    <d v="2025-03-15T00:00:00"/>
    <s v="F"/>
    <x v="1"/>
    <x v="0"/>
    <x v="0"/>
    <x v="20"/>
    <n v="2"/>
    <x v="10"/>
    <x v="2"/>
  </r>
  <r>
    <s v="TX501953"/>
    <x v="3"/>
    <x v="13"/>
    <n v="83.8"/>
    <n v="502.79999999999995"/>
    <x v="71"/>
    <d v="2025-03-14T00:00:00"/>
    <s v="M"/>
    <x v="0"/>
    <x v="0"/>
    <x v="0"/>
    <x v="21"/>
    <n v="1"/>
    <x v="10"/>
    <x v="1"/>
  </r>
  <r>
    <s v="TX501954"/>
    <x v="0"/>
    <x v="3"/>
    <n v="14"/>
    <n v="98"/>
    <x v="71"/>
    <d v="2025-03-16T00:00:00"/>
    <s v="M"/>
    <x v="0"/>
    <x v="1"/>
    <x v="0"/>
    <x v="22"/>
    <n v="3"/>
    <x v="10"/>
    <x v="1"/>
  </r>
  <r>
    <s v="TX501955"/>
    <x v="16"/>
    <x v="12"/>
    <n v="77.3"/>
    <n v="309.2"/>
    <x v="71"/>
    <d v="2025-03-15T00:00:00"/>
    <s v="F"/>
    <x v="4"/>
    <x v="2"/>
    <x v="0"/>
    <x v="3"/>
    <n v="2"/>
    <x v="10"/>
    <x v="2"/>
  </r>
  <r>
    <s v="TX501956"/>
    <x v="2"/>
    <x v="1"/>
    <n v="76.900000000000006"/>
    <n v="153.80000000000001"/>
    <x v="71"/>
    <d v="2025-03-17T00:00:00"/>
    <s v="F"/>
    <x v="0"/>
    <x v="1"/>
    <x v="0"/>
    <x v="3"/>
    <n v="4"/>
    <x v="10"/>
    <x v="2"/>
  </r>
  <r>
    <s v="TX501957"/>
    <x v="1"/>
    <x v="0"/>
    <n v="48"/>
    <n v="48"/>
    <x v="71"/>
    <d v="2025-03-15T00:00:00"/>
    <s v="F"/>
    <x v="1"/>
    <x v="2"/>
    <x v="0"/>
    <x v="3"/>
    <n v="2"/>
    <x v="10"/>
    <x v="2"/>
  </r>
  <r>
    <s v="TX501958"/>
    <x v="2"/>
    <x v="0"/>
    <n v="94.5"/>
    <n v="94.5"/>
    <x v="71"/>
    <d v="2025-03-16T00:00:00"/>
    <s v="M"/>
    <x v="1"/>
    <x v="1"/>
    <x v="0"/>
    <x v="3"/>
    <n v="3"/>
    <x v="10"/>
    <x v="1"/>
  </r>
  <r>
    <s v="TX501959"/>
    <x v="10"/>
    <x v="2"/>
    <n v="58.4"/>
    <n v="175.2"/>
    <x v="71"/>
    <d v="2025-03-15T00:00:00"/>
    <s v="F"/>
    <x v="1"/>
    <x v="2"/>
    <x v="0"/>
    <x v="3"/>
    <n v="2"/>
    <x v="10"/>
    <x v="2"/>
  </r>
  <r>
    <s v="TX501960"/>
    <x v="7"/>
    <x v="15"/>
    <n v="42.2"/>
    <n v="548.6"/>
    <x v="71"/>
    <d v="2025-03-13T00:00:00"/>
    <s v="M"/>
    <x v="0"/>
    <x v="0"/>
    <x v="0"/>
    <x v="25"/>
    <n v="0"/>
    <x v="10"/>
    <x v="1"/>
  </r>
  <r>
    <s v="TX501961"/>
    <x v="6"/>
    <x v="1"/>
    <n v="152.19999999999999"/>
    <n v="304.39999999999998"/>
    <x v="71"/>
    <d v="2025-03-14T00:00:00"/>
    <s v="M"/>
    <x v="4"/>
    <x v="1"/>
    <x v="0"/>
    <x v="25"/>
    <n v="1"/>
    <x v="10"/>
    <x v="1"/>
  </r>
  <r>
    <s v="TX501962"/>
    <x v="6"/>
    <x v="25"/>
    <n v="72"/>
    <n v="1728"/>
    <x v="71"/>
    <d v="2025-03-14T00:00:00"/>
    <s v="M"/>
    <x v="0"/>
    <x v="1"/>
    <x v="0"/>
    <x v="6"/>
    <n v="1"/>
    <x v="10"/>
    <x v="1"/>
  </r>
  <r>
    <s v="TX501963"/>
    <x v="1"/>
    <x v="44"/>
    <n v="70.900000000000006"/>
    <n v="1630.7"/>
    <x v="71"/>
    <d v="2025-03-14T00:00:00"/>
    <s v="F"/>
    <x v="2"/>
    <x v="0"/>
    <x v="0"/>
    <x v="8"/>
    <n v="1"/>
    <x v="10"/>
    <x v="2"/>
  </r>
  <r>
    <s v="TX501964"/>
    <x v="2"/>
    <x v="1"/>
    <n v="53.7"/>
    <n v="107.4"/>
    <x v="71"/>
    <d v="2025-03-14T00:00:00"/>
    <s v="M"/>
    <x v="2"/>
    <x v="2"/>
    <x v="0"/>
    <x v="8"/>
    <n v="1"/>
    <x v="10"/>
    <x v="1"/>
  </r>
  <r>
    <s v="TX501965"/>
    <x v="9"/>
    <x v="12"/>
    <n v="42.9"/>
    <n v="171.6"/>
    <x v="71"/>
    <d v="2025-03-14T00:00:00"/>
    <s v="F"/>
    <x v="2"/>
    <x v="4"/>
    <x v="0"/>
    <x v="9"/>
    <n v="1"/>
    <x v="10"/>
    <x v="2"/>
  </r>
  <r>
    <s v="TX501966"/>
    <x v="2"/>
    <x v="3"/>
    <n v="107.5"/>
    <n v="752.5"/>
    <x v="71"/>
    <d v="2025-03-14T00:00:00"/>
    <s v="M"/>
    <x v="1"/>
    <x v="0"/>
    <x v="0"/>
    <x v="11"/>
    <n v="1"/>
    <x v="10"/>
    <x v="1"/>
  </r>
  <r>
    <s v="TX501967"/>
    <x v="17"/>
    <x v="27"/>
    <n v="21.5"/>
    <n v="344"/>
    <x v="71"/>
    <d v="2025-03-14T00:00:00"/>
    <s v="M"/>
    <x v="1"/>
    <x v="1"/>
    <x v="0"/>
    <x v="32"/>
    <n v="1"/>
    <x v="10"/>
    <x v="1"/>
  </r>
  <r>
    <s v="TX501968"/>
    <x v="3"/>
    <x v="9"/>
    <n v="85.3"/>
    <n v="426.5"/>
    <x v="71"/>
    <d v="2025-03-15T00:00:00"/>
    <s v="F"/>
    <x v="3"/>
    <x v="0"/>
    <x v="0"/>
    <x v="18"/>
    <n v="2"/>
    <x v="10"/>
    <x v="2"/>
  </r>
  <r>
    <s v="TX501969"/>
    <x v="7"/>
    <x v="9"/>
    <n v="80.8"/>
    <n v="404"/>
    <x v="71"/>
    <d v="2025-03-21T00:00:00"/>
    <s v="O"/>
    <x v="1"/>
    <x v="1"/>
    <x v="0"/>
    <x v="19"/>
    <n v="8"/>
    <x v="10"/>
    <x v="3"/>
  </r>
  <r>
    <s v="TX501970"/>
    <x v="2"/>
    <x v="2"/>
    <n v="123.1"/>
    <n v="369.29999999999995"/>
    <x v="71"/>
    <d v="2025-03-15T00:00:00"/>
    <s v=""/>
    <x v="2"/>
    <x v="0"/>
    <x v="0"/>
    <x v="21"/>
    <n v="2"/>
    <x v="10"/>
    <x v="0"/>
  </r>
  <r>
    <s v="TX501971"/>
    <x v="8"/>
    <x v="1"/>
    <n v="36.9"/>
    <n v="73.8"/>
    <x v="71"/>
    <d v="2025-03-15T00:00:00"/>
    <s v="F"/>
    <x v="2"/>
    <x v="4"/>
    <x v="0"/>
    <x v="51"/>
    <n v="2"/>
    <x v="10"/>
    <x v="2"/>
  </r>
  <r>
    <s v="TX501972"/>
    <x v="11"/>
    <x v="9"/>
    <n v="40"/>
    <n v="200"/>
    <x v="71"/>
    <d v="2025-03-14T00:00:00"/>
    <s v="M"/>
    <x v="0"/>
    <x v="0"/>
    <x v="0"/>
    <x v="1"/>
    <n v="1"/>
    <x v="10"/>
    <x v="1"/>
  </r>
  <r>
    <s v="TX501973"/>
    <x v="6"/>
    <x v="2"/>
    <n v="55.5"/>
    <n v="166.5"/>
    <x v="71"/>
    <d v="2025-03-14T00:00:00"/>
    <s v="M"/>
    <x v="4"/>
    <x v="2"/>
    <x v="0"/>
    <x v="1"/>
    <n v="1"/>
    <x v="10"/>
    <x v="1"/>
  </r>
  <r>
    <s v="TX501974"/>
    <x v="0"/>
    <x v="12"/>
    <n v="20.5"/>
    <n v="82"/>
    <x v="71"/>
    <d v="2025-03-17T00:00:00"/>
    <s v="F"/>
    <x v="4"/>
    <x v="0"/>
    <x v="0"/>
    <x v="1"/>
    <n v="4"/>
    <x v="10"/>
    <x v="2"/>
  </r>
  <r>
    <s v="TX501975"/>
    <x v="18"/>
    <x v="12"/>
    <n v="50.1"/>
    <n v="200.4"/>
    <x v="71"/>
    <d v="2025-03-14T00:00:00"/>
    <s v="F"/>
    <x v="4"/>
    <x v="0"/>
    <x v="0"/>
    <x v="1"/>
    <n v="1"/>
    <x v="10"/>
    <x v="2"/>
  </r>
  <r>
    <s v="TX501976"/>
    <x v="9"/>
    <x v="0"/>
    <n v="35.9"/>
    <n v="35.9"/>
    <x v="71"/>
    <d v="2025-03-15T00:00:00"/>
    <s v="M"/>
    <x v="1"/>
    <x v="2"/>
    <x v="0"/>
    <x v="1"/>
    <n v="2"/>
    <x v="10"/>
    <x v="1"/>
  </r>
  <r>
    <s v="TX501977"/>
    <x v="13"/>
    <x v="12"/>
    <n v="29.4"/>
    <n v="117.6"/>
    <x v="72"/>
    <d v="2025-03-15T00:00:00"/>
    <s v="M"/>
    <x v="2"/>
    <x v="2"/>
    <x v="0"/>
    <x v="33"/>
    <n v="1"/>
    <x v="10"/>
    <x v="1"/>
  </r>
  <r>
    <s v="TX501978"/>
    <x v="8"/>
    <x v="9"/>
    <n v="29.1"/>
    <n v="145.5"/>
    <x v="72"/>
    <d v="2025-03-22T00:00:00"/>
    <s v="O"/>
    <x v="2"/>
    <x v="1"/>
    <x v="0"/>
    <x v="33"/>
    <n v="8"/>
    <x v="10"/>
    <x v="3"/>
  </r>
  <r>
    <s v="TX501979"/>
    <x v="8"/>
    <x v="2"/>
    <n v="33.5"/>
    <n v="100.5"/>
    <x v="72"/>
    <d v="2025-03-26T00:00:00"/>
    <s v="M"/>
    <x v="0"/>
    <x v="2"/>
    <x v="0"/>
    <x v="22"/>
    <n v="12"/>
    <x v="10"/>
    <x v="1"/>
  </r>
  <r>
    <s v="TX501980"/>
    <x v="4"/>
    <x v="7"/>
    <n v="36"/>
    <n v="360"/>
    <x v="72"/>
    <d v="2025-03-14T00:00:00"/>
    <s v="M"/>
    <x v="3"/>
    <x v="2"/>
    <x v="0"/>
    <x v="3"/>
    <n v="0"/>
    <x v="10"/>
    <x v="1"/>
  </r>
  <r>
    <s v="TX501981"/>
    <x v="16"/>
    <x v="2"/>
    <n v="57.3"/>
    <n v="171.89999999999998"/>
    <x v="72"/>
    <d v="2025-03-18T00:00:00"/>
    <s v="F"/>
    <x v="0"/>
    <x v="2"/>
    <x v="0"/>
    <x v="3"/>
    <n v="4"/>
    <x v="10"/>
    <x v="2"/>
  </r>
  <r>
    <s v="TX501982"/>
    <x v="1"/>
    <x v="0"/>
    <n v="81.400000000000006"/>
    <n v="81.400000000000006"/>
    <x v="72"/>
    <d v="2025-03-15T00:00:00"/>
    <s v="F"/>
    <x v="2"/>
    <x v="2"/>
    <x v="0"/>
    <x v="3"/>
    <n v="1"/>
    <x v="10"/>
    <x v="2"/>
  </r>
  <r>
    <s v="TX501983"/>
    <x v="10"/>
    <x v="1"/>
    <n v="35.299999999999997"/>
    <n v="70.599999999999994"/>
    <x v="72"/>
    <d v="2025-03-18T00:00:00"/>
    <s v="M"/>
    <x v="0"/>
    <x v="2"/>
    <x v="0"/>
    <x v="3"/>
    <n v="4"/>
    <x v="10"/>
    <x v="1"/>
  </r>
  <r>
    <s v="TX501984"/>
    <x v="3"/>
    <x v="0"/>
    <n v="36.1"/>
    <n v="36.1"/>
    <x v="72"/>
    <d v="2025-03-15T00:00:00"/>
    <s v="F"/>
    <x v="4"/>
    <x v="0"/>
    <x v="0"/>
    <x v="3"/>
    <n v="1"/>
    <x v="10"/>
    <x v="2"/>
  </r>
  <r>
    <s v="TX501985"/>
    <x v="1"/>
    <x v="1"/>
    <n v="36.700000000000003"/>
    <n v="73.400000000000006"/>
    <x v="72"/>
    <d v="2025-03-16T00:00:00"/>
    <s v="F"/>
    <x v="0"/>
    <x v="2"/>
    <x v="0"/>
    <x v="3"/>
    <n v="2"/>
    <x v="10"/>
    <x v="2"/>
  </r>
  <r>
    <s v="TX501986"/>
    <x v="10"/>
    <x v="0"/>
    <n v="20.9"/>
    <n v="20.9"/>
    <x v="72"/>
    <d v="2025-03-16T00:00:00"/>
    <s v="F"/>
    <x v="0"/>
    <x v="4"/>
    <x v="0"/>
    <x v="3"/>
    <n v="2"/>
    <x v="10"/>
    <x v="2"/>
  </r>
  <r>
    <s v="TX501987"/>
    <x v="12"/>
    <x v="2"/>
    <n v="58.8"/>
    <n v="176.39999999999998"/>
    <x v="72"/>
    <d v="2025-03-18T00:00:00"/>
    <s v="M"/>
    <x v="0"/>
    <x v="2"/>
    <x v="0"/>
    <x v="25"/>
    <n v="4"/>
    <x v="10"/>
    <x v="1"/>
  </r>
  <r>
    <s v="TX501988"/>
    <x v="2"/>
    <x v="2"/>
    <n v="97.6"/>
    <n v="292.79999999999995"/>
    <x v="73"/>
    <d v="2025-03-17T00:00:00"/>
    <s v=""/>
    <x v="0"/>
    <x v="0"/>
    <x v="0"/>
    <x v="6"/>
    <n v="2"/>
    <x v="10"/>
    <x v="0"/>
  </r>
  <r>
    <s v="TX501989"/>
    <x v="1"/>
    <x v="1"/>
    <n v="58.7"/>
    <n v="117.4"/>
    <x v="73"/>
    <d v="2025-03-18T00:00:00"/>
    <s v="F"/>
    <x v="0"/>
    <x v="1"/>
    <x v="0"/>
    <x v="6"/>
    <n v="3"/>
    <x v="10"/>
    <x v="2"/>
  </r>
  <r>
    <s v="TX501990"/>
    <x v="6"/>
    <x v="9"/>
    <n v="71.900000000000006"/>
    <n v="359.5"/>
    <x v="73"/>
    <d v="2025-03-16T00:00:00"/>
    <s v=""/>
    <x v="0"/>
    <x v="1"/>
    <x v="0"/>
    <x v="6"/>
    <n v="1"/>
    <x v="10"/>
    <x v="0"/>
  </r>
  <r>
    <s v="TX501991"/>
    <x v="1"/>
    <x v="1"/>
    <n v="62.4"/>
    <n v="124.8"/>
    <x v="73"/>
    <d v="2025-03-17T00:00:00"/>
    <s v=""/>
    <x v="0"/>
    <x v="1"/>
    <x v="0"/>
    <x v="8"/>
    <n v="2"/>
    <x v="10"/>
    <x v="0"/>
  </r>
  <r>
    <s v="TX501992"/>
    <x v="6"/>
    <x v="27"/>
    <n v="53.8"/>
    <n v="860.8"/>
    <x v="73"/>
    <d v="2025-03-16T00:00:00"/>
    <s v="F"/>
    <x v="1"/>
    <x v="0"/>
    <x v="0"/>
    <x v="8"/>
    <n v="1"/>
    <x v="10"/>
    <x v="2"/>
  </r>
  <r>
    <s v="TX501993"/>
    <x v="9"/>
    <x v="0"/>
    <n v="43.8"/>
    <n v="43.8"/>
    <x v="73"/>
    <d v="2025-03-22T00:00:00"/>
    <s v="F"/>
    <x v="0"/>
    <x v="2"/>
    <x v="0"/>
    <x v="8"/>
    <n v="7"/>
    <x v="10"/>
    <x v="2"/>
  </r>
  <r>
    <s v="TX501994"/>
    <x v="5"/>
    <x v="2"/>
    <n v="53.6"/>
    <n v="160.80000000000001"/>
    <x v="73"/>
    <d v="2025-03-16T00:00:00"/>
    <s v="M"/>
    <x v="3"/>
    <x v="0"/>
    <x v="0"/>
    <x v="8"/>
    <n v="1"/>
    <x v="10"/>
    <x v="1"/>
  </r>
  <r>
    <s v="TX501995"/>
    <x v="12"/>
    <x v="1"/>
    <n v="84.3"/>
    <n v="168.6"/>
    <x v="73"/>
    <d v="2025-03-18T00:00:00"/>
    <s v="M"/>
    <x v="4"/>
    <x v="1"/>
    <x v="0"/>
    <x v="8"/>
    <n v="3"/>
    <x v="10"/>
    <x v="1"/>
  </r>
  <r>
    <s v="TX501996"/>
    <x v="6"/>
    <x v="11"/>
    <n v="117.9"/>
    <n v="1061.1000000000001"/>
    <x v="73"/>
    <d v="2025-03-16T00:00:00"/>
    <s v="F"/>
    <x v="1"/>
    <x v="2"/>
    <x v="0"/>
    <x v="8"/>
    <n v="1"/>
    <x v="10"/>
    <x v="2"/>
  </r>
  <r>
    <s v="TX501997"/>
    <x v="4"/>
    <x v="8"/>
    <n v="30"/>
    <n v="240"/>
    <x v="73"/>
    <d v="2025-03-16T00:00:00"/>
    <s v="F"/>
    <x v="1"/>
    <x v="0"/>
    <x v="0"/>
    <x v="26"/>
    <n v="1"/>
    <x v="10"/>
    <x v="2"/>
  </r>
  <r>
    <s v="TX501998"/>
    <x v="14"/>
    <x v="2"/>
    <n v="37.299999999999997"/>
    <n v="111.89999999999999"/>
    <x v="73"/>
    <d v="2025-03-16T00:00:00"/>
    <s v="M"/>
    <x v="2"/>
    <x v="0"/>
    <x v="0"/>
    <x v="9"/>
    <n v="1"/>
    <x v="10"/>
    <x v="1"/>
  </r>
  <r>
    <s v="TX501999"/>
    <x v="4"/>
    <x v="11"/>
    <n v="25.1"/>
    <n v="225.9"/>
    <x v="73"/>
    <d v="2025-03-17T00:00:00"/>
    <s v="M"/>
    <x v="1"/>
    <x v="2"/>
    <x v="0"/>
    <x v="11"/>
    <n v="2"/>
    <x v="10"/>
    <x v="1"/>
  </r>
  <r>
    <s v="TX502000"/>
    <x v="8"/>
    <x v="5"/>
    <n v="36"/>
    <n v="396"/>
    <x v="73"/>
    <d v="2025-03-25T00:00:00"/>
    <s v="M"/>
    <x v="1"/>
    <x v="0"/>
    <x v="0"/>
    <x v="18"/>
    <n v="10"/>
    <x v="10"/>
    <x v="1"/>
  </r>
  <r>
    <s v="TX502001"/>
    <x v="16"/>
    <x v="2"/>
    <n v="48.5"/>
    <n v="145.5"/>
    <x v="73"/>
    <d v="2025-03-19T00:00:00"/>
    <s v="F"/>
    <x v="1"/>
    <x v="0"/>
    <x v="0"/>
    <x v="19"/>
    <n v="4"/>
    <x v="10"/>
    <x v="2"/>
  </r>
  <r>
    <s v="TX502002"/>
    <x v="17"/>
    <x v="13"/>
    <n v="21.1"/>
    <n v="126.60000000000001"/>
    <x v="73"/>
    <d v="2025-03-16T00:00:00"/>
    <s v="M"/>
    <x v="1"/>
    <x v="2"/>
    <x v="0"/>
    <x v="21"/>
    <n v="1"/>
    <x v="10"/>
    <x v="1"/>
  </r>
  <r>
    <s v="TX502003"/>
    <x v="15"/>
    <x v="21"/>
    <n v="43.2"/>
    <n v="604.80000000000007"/>
    <x v="73"/>
    <d v="2025-03-16T00:00:00"/>
    <s v="O"/>
    <x v="0"/>
    <x v="1"/>
    <x v="0"/>
    <x v="21"/>
    <n v="1"/>
    <x v="10"/>
    <x v="3"/>
  </r>
  <r>
    <s v="TX502004"/>
    <x v="9"/>
    <x v="1"/>
    <n v="21.1"/>
    <n v="42.2"/>
    <x v="73"/>
    <d v="2025-03-16T00:00:00"/>
    <s v=""/>
    <x v="3"/>
    <x v="1"/>
    <x v="0"/>
    <x v="21"/>
    <n v="1"/>
    <x v="10"/>
    <x v="0"/>
  </r>
  <r>
    <s v="TX502005"/>
    <x v="6"/>
    <x v="12"/>
    <n v="41.3"/>
    <n v="165.2"/>
    <x v="73"/>
    <d v="2025-03-17T00:00:00"/>
    <s v="F"/>
    <x v="3"/>
    <x v="2"/>
    <x v="0"/>
    <x v="1"/>
    <n v="2"/>
    <x v="10"/>
    <x v="2"/>
  </r>
  <r>
    <s v="TX502006"/>
    <x v="8"/>
    <x v="1"/>
    <n v="15.3"/>
    <n v="30.6"/>
    <x v="73"/>
    <d v="2025-03-18T00:00:00"/>
    <s v=""/>
    <x v="2"/>
    <x v="2"/>
    <x v="0"/>
    <x v="1"/>
    <n v="3"/>
    <x v="10"/>
    <x v="0"/>
  </r>
  <r>
    <s v="TX502007"/>
    <x v="1"/>
    <x v="0"/>
    <n v="54.6"/>
    <n v="54.6"/>
    <x v="73"/>
    <d v="2025-03-17T00:00:00"/>
    <s v="M"/>
    <x v="1"/>
    <x v="1"/>
    <x v="0"/>
    <x v="2"/>
    <n v="2"/>
    <x v="10"/>
    <x v="1"/>
  </r>
  <r>
    <s v="TX502008"/>
    <x v="8"/>
    <x v="0"/>
    <n v="15.9"/>
    <n v="15.9"/>
    <x v="73"/>
    <d v="2025-03-16T00:00:00"/>
    <s v="M"/>
    <x v="0"/>
    <x v="1"/>
    <x v="0"/>
    <x v="22"/>
    <n v="1"/>
    <x v="10"/>
    <x v="1"/>
  </r>
  <r>
    <s v="TX502009"/>
    <x v="9"/>
    <x v="0"/>
    <n v="50.2"/>
    <n v="50.2"/>
    <x v="73"/>
    <d v="2025-03-17T00:00:00"/>
    <s v="F"/>
    <x v="3"/>
    <x v="2"/>
    <x v="0"/>
    <x v="34"/>
    <n v="2"/>
    <x v="10"/>
    <x v="2"/>
  </r>
  <r>
    <s v="TX502010"/>
    <x v="11"/>
    <x v="12"/>
    <n v="85.1"/>
    <n v="340.4"/>
    <x v="73"/>
    <d v="2025-03-16T00:00:00"/>
    <s v="F"/>
    <x v="3"/>
    <x v="4"/>
    <x v="0"/>
    <x v="34"/>
    <n v="1"/>
    <x v="10"/>
    <x v="2"/>
  </r>
  <r>
    <s v="TX502011"/>
    <x v="11"/>
    <x v="1"/>
    <n v="41.4"/>
    <n v="82.8"/>
    <x v="73"/>
    <d v="2025-03-16T00:00:00"/>
    <s v="F"/>
    <x v="0"/>
    <x v="2"/>
    <x v="0"/>
    <x v="3"/>
    <n v="1"/>
    <x v="10"/>
    <x v="2"/>
  </r>
  <r>
    <s v="TX502012"/>
    <x v="4"/>
    <x v="3"/>
    <n v="32.700000000000003"/>
    <n v="228.90000000000003"/>
    <x v="73"/>
    <d v="2025-03-16T00:00:00"/>
    <s v="F"/>
    <x v="2"/>
    <x v="1"/>
    <x v="0"/>
    <x v="3"/>
    <n v="1"/>
    <x v="10"/>
    <x v="2"/>
  </r>
  <r>
    <s v="TX502013"/>
    <x v="4"/>
    <x v="1"/>
    <n v="41.6"/>
    <n v="83.2"/>
    <x v="73"/>
    <d v="2025-03-17T00:00:00"/>
    <s v="M"/>
    <x v="4"/>
    <x v="1"/>
    <x v="0"/>
    <x v="3"/>
    <n v="2"/>
    <x v="10"/>
    <x v="1"/>
  </r>
  <r>
    <s v="TX502014"/>
    <x v="5"/>
    <x v="12"/>
    <n v="64.8"/>
    <n v="259.2"/>
    <x v="73"/>
    <d v="2025-03-16T00:00:00"/>
    <s v=""/>
    <x v="2"/>
    <x v="0"/>
    <x v="0"/>
    <x v="3"/>
    <n v="1"/>
    <x v="10"/>
    <x v="0"/>
  </r>
  <r>
    <s v="TX502015"/>
    <x v="15"/>
    <x v="1"/>
    <n v="33.6"/>
    <n v="67.2"/>
    <x v="73"/>
    <d v="2025-03-16T00:00:00"/>
    <s v="M"/>
    <x v="0"/>
    <x v="2"/>
    <x v="0"/>
    <x v="3"/>
    <n v="1"/>
    <x v="10"/>
    <x v="1"/>
  </r>
  <r>
    <s v="TX502016"/>
    <x v="6"/>
    <x v="2"/>
    <n v="100.7"/>
    <n v="302.10000000000002"/>
    <x v="73"/>
    <d v="2025-03-16T00:00:00"/>
    <s v=""/>
    <x v="1"/>
    <x v="0"/>
    <x v="0"/>
    <x v="3"/>
    <n v="1"/>
    <x v="10"/>
    <x v="0"/>
  </r>
  <r>
    <s v="TX502017"/>
    <x v="4"/>
    <x v="1"/>
    <n v="49.3"/>
    <n v="98.6"/>
    <x v="74"/>
    <d v="2025-03-18T00:00:00"/>
    <s v="F"/>
    <x v="4"/>
    <x v="2"/>
    <x v="0"/>
    <x v="3"/>
    <n v="2"/>
    <x v="11"/>
    <x v="2"/>
  </r>
  <r>
    <s v="TX502018"/>
    <x v="2"/>
    <x v="13"/>
    <n v="97"/>
    <n v="582"/>
    <x v="74"/>
    <d v="2025-03-19T00:00:00"/>
    <s v="M"/>
    <x v="2"/>
    <x v="2"/>
    <x v="0"/>
    <x v="3"/>
    <n v="3"/>
    <x v="11"/>
    <x v="1"/>
  </r>
  <r>
    <s v="TX502019"/>
    <x v="0"/>
    <x v="13"/>
    <n v="25.2"/>
    <n v="151.19999999999999"/>
    <x v="74"/>
    <d v="2025-03-19T00:00:00"/>
    <s v="F"/>
    <x v="4"/>
    <x v="2"/>
    <x v="0"/>
    <x v="3"/>
    <n v="3"/>
    <x v="11"/>
    <x v="2"/>
  </r>
  <r>
    <s v="TX502020"/>
    <x v="0"/>
    <x v="5"/>
    <n v="12.2"/>
    <n v="134.19999999999999"/>
    <x v="74"/>
    <d v="2025-03-17T00:00:00"/>
    <s v=""/>
    <x v="0"/>
    <x v="1"/>
    <x v="0"/>
    <x v="3"/>
    <n v="1"/>
    <x v="11"/>
    <x v="0"/>
  </r>
  <r>
    <s v="TX502021"/>
    <x v="8"/>
    <x v="3"/>
    <n v="38.799999999999997"/>
    <n v="271.59999999999997"/>
    <x v="74"/>
    <d v="2025-03-18T00:00:00"/>
    <s v="F"/>
    <x v="1"/>
    <x v="1"/>
    <x v="0"/>
    <x v="23"/>
    <n v="2"/>
    <x v="11"/>
    <x v="2"/>
  </r>
  <r>
    <s v="TX502022"/>
    <x v="2"/>
    <x v="12"/>
    <n v="53.2"/>
    <n v="212.8"/>
    <x v="74"/>
    <d v="2025-03-17T00:00:00"/>
    <s v="M"/>
    <x v="0"/>
    <x v="2"/>
    <x v="0"/>
    <x v="8"/>
    <n v="1"/>
    <x v="11"/>
    <x v="1"/>
  </r>
  <r>
    <s v="TX502023"/>
    <x v="6"/>
    <x v="3"/>
    <n v="151"/>
    <n v="1057"/>
    <x v="74"/>
    <d v="2025-03-17T00:00:00"/>
    <s v="O"/>
    <x v="1"/>
    <x v="1"/>
    <x v="0"/>
    <x v="8"/>
    <n v="1"/>
    <x v="11"/>
    <x v="3"/>
  </r>
  <r>
    <s v="TX502024"/>
    <x v="1"/>
    <x v="1"/>
    <n v="37.1"/>
    <n v="74.2"/>
    <x v="74"/>
    <d v="2025-03-17T00:00:00"/>
    <s v="F"/>
    <x v="4"/>
    <x v="0"/>
    <x v="0"/>
    <x v="8"/>
    <n v="1"/>
    <x v="11"/>
    <x v="2"/>
  </r>
  <r>
    <s v="TX502025"/>
    <x v="5"/>
    <x v="1"/>
    <n v="38.9"/>
    <n v="77.8"/>
    <x v="74"/>
    <d v="2025-03-17T00:00:00"/>
    <s v="M"/>
    <x v="4"/>
    <x v="0"/>
    <x v="0"/>
    <x v="8"/>
    <n v="1"/>
    <x v="11"/>
    <x v="1"/>
  </r>
  <r>
    <s v="TX502026"/>
    <x v="10"/>
    <x v="1"/>
    <n v="35.200000000000003"/>
    <n v="70.400000000000006"/>
    <x v="74"/>
    <d v="2025-03-17T00:00:00"/>
    <s v="M"/>
    <x v="0"/>
    <x v="2"/>
    <x v="0"/>
    <x v="17"/>
    <n v="1"/>
    <x v="11"/>
    <x v="1"/>
  </r>
  <r>
    <s v="TX502027"/>
    <x v="0"/>
    <x v="1"/>
    <n v="22.3"/>
    <n v="44.6"/>
    <x v="74"/>
    <d v="2025-03-18T00:00:00"/>
    <s v="F"/>
    <x v="1"/>
    <x v="0"/>
    <x v="0"/>
    <x v="9"/>
    <n v="2"/>
    <x v="11"/>
    <x v="2"/>
  </r>
  <r>
    <s v="TX502028"/>
    <x v="9"/>
    <x v="0"/>
    <n v="43.3"/>
    <n v="43.3"/>
    <x v="74"/>
    <d v="2025-03-19T00:00:00"/>
    <s v="F"/>
    <x v="0"/>
    <x v="2"/>
    <x v="0"/>
    <x v="11"/>
    <n v="3"/>
    <x v="11"/>
    <x v="2"/>
  </r>
  <r>
    <s v="TX502029"/>
    <x v="6"/>
    <x v="13"/>
    <n v="75.900000000000006"/>
    <n v="455.40000000000003"/>
    <x v="74"/>
    <d v="2025-03-22T00:00:00"/>
    <s v="M"/>
    <x v="0"/>
    <x v="0"/>
    <x v="0"/>
    <x v="11"/>
    <n v="6"/>
    <x v="11"/>
    <x v="1"/>
  </r>
  <r>
    <s v="TX502030"/>
    <x v="6"/>
    <x v="2"/>
    <n v="78.7"/>
    <n v="236.10000000000002"/>
    <x v="74"/>
    <d v="2025-03-20T00:00:00"/>
    <s v="F"/>
    <x v="2"/>
    <x v="1"/>
    <x v="0"/>
    <x v="11"/>
    <n v="4"/>
    <x v="11"/>
    <x v="2"/>
  </r>
  <r>
    <s v="TX502031"/>
    <x v="1"/>
    <x v="0"/>
    <n v="66.3"/>
    <n v="66.3"/>
    <x v="74"/>
    <d v="2025-03-20T00:00:00"/>
    <s v="F"/>
    <x v="0"/>
    <x v="2"/>
    <x v="0"/>
    <x v="19"/>
    <n v="4"/>
    <x v="11"/>
    <x v="2"/>
  </r>
  <r>
    <s v="TX502032"/>
    <x v="8"/>
    <x v="1"/>
    <n v="33.6"/>
    <n v="67.2"/>
    <x v="74"/>
    <d v="2025-03-16T00:00:00"/>
    <s v="M"/>
    <x v="0"/>
    <x v="1"/>
    <x v="0"/>
    <x v="19"/>
    <n v="0"/>
    <x v="11"/>
    <x v="1"/>
  </r>
  <r>
    <s v="TX502033"/>
    <x v="2"/>
    <x v="3"/>
    <n v="61.4"/>
    <n v="429.8"/>
    <x v="74"/>
    <d v="2025-03-17T00:00:00"/>
    <s v="M"/>
    <x v="4"/>
    <x v="0"/>
    <x v="0"/>
    <x v="19"/>
    <n v="1"/>
    <x v="11"/>
    <x v="1"/>
  </r>
  <r>
    <s v="TX502034"/>
    <x v="8"/>
    <x v="1"/>
    <n v="17.5"/>
    <n v="35"/>
    <x v="74"/>
    <d v="2025-03-19T00:00:00"/>
    <s v="F"/>
    <x v="0"/>
    <x v="0"/>
    <x v="0"/>
    <x v="21"/>
    <n v="3"/>
    <x v="11"/>
    <x v="2"/>
  </r>
  <r>
    <s v="TX502035"/>
    <x v="8"/>
    <x v="1"/>
    <n v="32.5"/>
    <n v="65"/>
    <x v="74"/>
    <d v="2025-03-19T00:00:00"/>
    <s v="F"/>
    <x v="1"/>
    <x v="0"/>
    <x v="0"/>
    <x v="21"/>
    <n v="3"/>
    <x v="11"/>
    <x v="2"/>
  </r>
  <r>
    <s v="TX502036"/>
    <x v="4"/>
    <x v="0"/>
    <n v="34.6"/>
    <n v="34.6"/>
    <x v="74"/>
    <d v="2025-03-17T00:00:00"/>
    <s v="F"/>
    <x v="4"/>
    <x v="0"/>
    <x v="0"/>
    <x v="21"/>
    <n v="1"/>
    <x v="11"/>
    <x v="2"/>
  </r>
  <r>
    <s v="TX502037"/>
    <x v="2"/>
    <x v="0"/>
    <n v="75.900000000000006"/>
    <n v="75.900000000000006"/>
    <x v="74"/>
    <d v="2025-03-16T00:00:00"/>
    <s v="M"/>
    <x v="1"/>
    <x v="2"/>
    <x v="0"/>
    <x v="21"/>
    <n v="0"/>
    <x v="11"/>
    <x v="1"/>
  </r>
  <r>
    <s v="TX502038"/>
    <x v="1"/>
    <x v="2"/>
    <n v="42.1"/>
    <n v="126.30000000000001"/>
    <x v="74"/>
    <d v="2025-03-19T00:00:00"/>
    <s v="M"/>
    <x v="1"/>
    <x v="1"/>
    <x v="0"/>
    <x v="21"/>
    <n v="3"/>
    <x v="11"/>
    <x v="1"/>
  </r>
  <r>
    <s v="TX502039"/>
    <x v="7"/>
    <x v="2"/>
    <n v="65.3"/>
    <n v="195.89999999999998"/>
    <x v="74"/>
    <d v="2025-03-23T00:00:00"/>
    <s v="M"/>
    <x v="0"/>
    <x v="0"/>
    <x v="0"/>
    <x v="1"/>
    <n v="7"/>
    <x v="11"/>
    <x v="1"/>
  </r>
  <r>
    <s v="TX502040"/>
    <x v="15"/>
    <x v="0"/>
    <n v="20.6"/>
    <n v="20.6"/>
    <x v="74"/>
    <d v="2025-03-19T00:00:00"/>
    <s v="M"/>
    <x v="3"/>
    <x v="0"/>
    <x v="0"/>
    <x v="42"/>
    <n v="3"/>
    <x v="11"/>
    <x v="1"/>
  </r>
  <r>
    <s v="TX502041"/>
    <x v="8"/>
    <x v="3"/>
    <n v="16.5"/>
    <n v="115.5"/>
    <x v="74"/>
    <d v="2025-03-17T00:00:00"/>
    <s v="M"/>
    <x v="1"/>
    <x v="1"/>
    <x v="0"/>
    <x v="2"/>
    <n v="1"/>
    <x v="11"/>
    <x v="1"/>
  </r>
  <r>
    <s v="TX502042"/>
    <x v="16"/>
    <x v="7"/>
    <n v="36.200000000000003"/>
    <n v="362"/>
    <x v="74"/>
    <d v="2025-03-18T00:00:00"/>
    <s v="M"/>
    <x v="0"/>
    <x v="2"/>
    <x v="0"/>
    <x v="2"/>
    <n v="2"/>
    <x v="11"/>
    <x v="1"/>
  </r>
  <r>
    <s v="TX502043"/>
    <x v="6"/>
    <x v="0"/>
    <n v="53.2"/>
    <n v="53.2"/>
    <x v="74"/>
    <d v="2025-03-17T00:00:00"/>
    <s v="F"/>
    <x v="0"/>
    <x v="1"/>
    <x v="0"/>
    <x v="22"/>
    <n v="1"/>
    <x v="11"/>
    <x v="2"/>
  </r>
  <r>
    <s v="TX502044"/>
    <x v="2"/>
    <x v="21"/>
    <n v="176"/>
    <n v="2464"/>
    <x v="74"/>
    <d v="2025-03-17T00:00:00"/>
    <s v="F"/>
    <x v="0"/>
    <x v="1"/>
    <x v="0"/>
    <x v="3"/>
    <n v="1"/>
    <x v="11"/>
    <x v="2"/>
  </r>
  <r>
    <s v="TX502045"/>
    <x v="1"/>
    <x v="0"/>
    <n v="52.4"/>
    <n v="52.4"/>
    <x v="74"/>
    <d v="2025-03-17T00:00:00"/>
    <s v="M"/>
    <x v="1"/>
    <x v="0"/>
    <x v="0"/>
    <x v="3"/>
    <n v="1"/>
    <x v="11"/>
    <x v="1"/>
  </r>
  <r>
    <s v="TX502046"/>
    <x v="10"/>
    <x v="2"/>
    <n v="48.2"/>
    <n v="144.60000000000002"/>
    <x v="74"/>
    <d v="2025-03-17T00:00:00"/>
    <s v="F"/>
    <x v="1"/>
    <x v="2"/>
    <x v="0"/>
    <x v="3"/>
    <n v="1"/>
    <x v="11"/>
    <x v="2"/>
  </r>
  <r>
    <s v="TX502047"/>
    <x v="15"/>
    <x v="0"/>
    <n v="51.6"/>
    <n v="51.6"/>
    <x v="74"/>
    <d v="2025-03-20T00:00:00"/>
    <s v="F"/>
    <x v="2"/>
    <x v="1"/>
    <x v="0"/>
    <x v="3"/>
    <n v="4"/>
    <x v="11"/>
    <x v="2"/>
  </r>
  <r>
    <s v="TX502048"/>
    <x v="0"/>
    <x v="12"/>
    <n v="33.700000000000003"/>
    <n v="134.80000000000001"/>
    <x v="75"/>
    <d v="2025-03-18T00:00:00"/>
    <s v="M"/>
    <x v="0"/>
    <x v="0"/>
    <x v="0"/>
    <x v="3"/>
    <n v="1"/>
    <x v="11"/>
    <x v="1"/>
  </r>
  <r>
    <s v="TX502049"/>
    <x v="4"/>
    <x v="7"/>
    <n v="36.299999999999997"/>
    <n v="363"/>
    <x v="75"/>
    <d v="2025-03-19T00:00:00"/>
    <s v="F"/>
    <x v="4"/>
    <x v="1"/>
    <x v="0"/>
    <x v="3"/>
    <n v="2"/>
    <x v="11"/>
    <x v="2"/>
  </r>
  <r>
    <s v="TX502050"/>
    <x v="8"/>
    <x v="0"/>
    <n v="23.4"/>
    <n v="23.4"/>
    <x v="75"/>
    <d v="2025-03-22T00:00:00"/>
    <s v="F"/>
    <x v="1"/>
    <x v="2"/>
    <x v="0"/>
    <x v="3"/>
    <n v="5"/>
    <x v="11"/>
    <x v="2"/>
  </r>
  <r>
    <s v="TX502051"/>
    <x v="15"/>
    <x v="8"/>
    <n v="56.6"/>
    <n v="452.8"/>
    <x v="75"/>
    <d v="2025-03-19T00:00:00"/>
    <s v="F"/>
    <x v="1"/>
    <x v="0"/>
    <x v="0"/>
    <x v="3"/>
    <n v="2"/>
    <x v="11"/>
    <x v="2"/>
  </r>
  <r>
    <s v="TX502052"/>
    <x v="15"/>
    <x v="1"/>
    <n v="26.8"/>
    <n v="53.6"/>
    <x v="75"/>
    <d v="2025-03-18T00:00:00"/>
    <s v="M"/>
    <x v="0"/>
    <x v="0"/>
    <x v="0"/>
    <x v="4"/>
    <n v="1"/>
    <x v="11"/>
    <x v="1"/>
  </r>
  <r>
    <s v="TX502053"/>
    <x v="0"/>
    <x v="2"/>
    <n v="11.3"/>
    <n v="33.900000000000006"/>
    <x v="75"/>
    <d v="2025-03-19T00:00:00"/>
    <s v="M"/>
    <x v="2"/>
    <x v="0"/>
    <x v="0"/>
    <x v="25"/>
    <n v="2"/>
    <x v="11"/>
    <x v="1"/>
  </r>
  <r>
    <s v="TX502054"/>
    <x v="6"/>
    <x v="2"/>
    <n v="60.1"/>
    <n v="180.3"/>
    <x v="75"/>
    <d v="2025-03-20T00:00:00"/>
    <s v="F"/>
    <x v="0"/>
    <x v="0"/>
    <x v="0"/>
    <x v="7"/>
    <n v="3"/>
    <x v="11"/>
    <x v="2"/>
  </r>
  <r>
    <s v="TX502055"/>
    <x v="0"/>
    <x v="5"/>
    <n v="27.7"/>
    <n v="304.7"/>
    <x v="75"/>
    <d v="2025-03-22T00:00:00"/>
    <s v="F"/>
    <x v="0"/>
    <x v="0"/>
    <x v="0"/>
    <x v="8"/>
    <n v="5"/>
    <x v="11"/>
    <x v="2"/>
  </r>
  <r>
    <s v="TX502056"/>
    <x v="15"/>
    <x v="0"/>
    <n v="71.400000000000006"/>
    <n v="71.400000000000006"/>
    <x v="75"/>
    <d v="2025-03-20T00:00:00"/>
    <s v="M"/>
    <x v="0"/>
    <x v="2"/>
    <x v="0"/>
    <x v="8"/>
    <n v="3"/>
    <x v="11"/>
    <x v="1"/>
  </r>
  <r>
    <s v="TX502057"/>
    <x v="2"/>
    <x v="1"/>
    <n v="66.7"/>
    <n v="133.4"/>
    <x v="75"/>
    <d v="2025-03-18T00:00:00"/>
    <s v="F"/>
    <x v="0"/>
    <x v="2"/>
    <x v="0"/>
    <x v="8"/>
    <n v="1"/>
    <x v="11"/>
    <x v="2"/>
  </r>
  <r>
    <s v="TX502058"/>
    <x v="13"/>
    <x v="9"/>
    <n v="39.1"/>
    <n v="195.5"/>
    <x v="75"/>
    <d v="2025-03-18T00:00:00"/>
    <s v="F"/>
    <x v="0"/>
    <x v="0"/>
    <x v="0"/>
    <x v="8"/>
    <n v="1"/>
    <x v="11"/>
    <x v="2"/>
  </r>
  <r>
    <s v="TX502059"/>
    <x v="8"/>
    <x v="12"/>
    <n v="24.9"/>
    <n v="99.6"/>
    <x v="75"/>
    <d v="2025-03-22T00:00:00"/>
    <s v="M"/>
    <x v="1"/>
    <x v="2"/>
    <x v="0"/>
    <x v="8"/>
    <n v="5"/>
    <x v="11"/>
    <x v="1"/>
  </r>
  <r>
    <s v="TX502060"/>
    <x v="5"/>
    <x v="9"/>
    <n v="29.2"/>
    <n v="146"/>
    <x v="75"/>
    <d v="2025-03-18T00:00:00"/>
    <s v="M"/>
    <x v="0"/>
    <x v="2"/>
    <x v="0"/>
    <x v="17"/>
    <n v="1"/>
    <x v="11"/>
    <x v="1"/>
  </r>
  <r>
    <s v="TX502061"/>
    <x v="13"/>
    <x v="21"/>
    <n v="28.3"/>
    <n v="396.2"/>
    <x v="75"/>
    <d v="2025-03-19T00:00:00"/>
    <s v="F"/>
    <x v="1"/>
    <x v="0"/>
    <x v="0"/>
    <x v="11"/>
    <n v="2"/>
    <x v="11"/>
    <x v="2"/>
  </r>
  <r>
    <s v="TX502062"/>
    <x v="9"/>
    <x v="2"/>
    <n v="37.799999999999997"/>
    <n v="113.39999999999999"/>
    <x v="75"/>
    <d v="2025-03-18T00:00:00"/>
    <s v="F"/>
    <x v="0"/>
    <x v="1"/>
    <x v="0"/>
    <x v="11"/>
    <n v="1"/>
    <x v="11"/>
    <x v="2"/>
  </r>
  <r>
    <s v="TX502063"/>
    <x v="14"/>
    <x v="3"/>
    <n v="28.1"/>
    <n v="196.70000000000002"/>
    <x v="75"/>
    <d v="2025-03-23T00:00:00"/>
    <s v="F"/>
    <x v="2"/>
    <x v="0"/>
    <x v="0"/>
    <x v="11"/>
    <n v="6"/>
    <x v="11"/>
    <x v="2"/>
  </r>
  <r>
    <s v="TX502064"/>
    <x v="1"/>
    <x v="2"/>
    <n v="59.7"/>
    <n v="179.10000000000002"/>
    <x v="75"/>
    <d v="2025-03-19T00:00:00"/>
    <s v="F"/>
    <x v="2"/>
    <x v="0"/>
    <x v="0"/>
    <x v="11"/>
    <n v="2"/>
    <x v="11"/>
    <x v="2"/>
  </r>
  <r>
    <s v="TX502065"/>
    <x v="16"/>
    <x v="0"/>
    <n v="71.900000000000006"/>
    <n v="71.900000000000006"/>
    <x v="75"/>
    <d v="2025-03-18T00:00:00"/>
    <s v="M"/>
    <x v="1"/>
    <x v="1"/>
    <x v="0"/>
    <x v="11"/>
    <n v="1"/>
    <x v="11"/>
    <x v="1"/>
  </r>
  <r>
    <s v="TX502066"/>
    <x v="1"/>
    <x v="1"/>
    <n v="56.9"/>
    <n v="113.8"/>
    <x v="75"/>
    <d v="2025-03-18T00:00:00"/>
    <s v="M"/>
    <x v="2"/>
    <x v="0"/>
    <x v="0"/>
    <x v="13"/>
    <n v="1"/>
    <x v="11"/>
    <x v="1"/>
  </r>
  <r>
    <s v="TX502067"/>
    <x v="8"/>
    <x v="1"/>
    <n v="15.8"/>
    <n v="31.6"/>
    <x v="75"/>
    <d v="2025-03-20T00:00:00"/>
    <s v="F"/>
    <x v="2"/>
    <x v="1"/>
    <x v="0"/>
    <x v="1"/>
    <n v="3"/>
    <x v="11"/>
    <x v="2"/>
  </r>
  <r>
    <s v="TX502068"/>
    <x v="11"/>
    <x v="12"/>
    <n v="61.7"/>
    <n v="246.8"/>
    <x v="75"/>
    <d v="2025-03-19T00:00:00"/>
    <s v="F"/>
    <x v="2"/>
    <x v="0"/>
    <x v="0"/>
    <x v="22"/>
    <n v="2"/>
    <x v="11"/>
    <x v="2"/>
  </r>
  <r>
    <s v="TX502069"/>
    <x v="2"/>
    <x v="7"/>
    <n v="105.2"/>
    <n v="1052"/>
    <x v="75"/>
    <d v="2025-03-19T00:00:00"/>
    <s v="M"/>
    <x v="1"/>
    <x v="4"/>
    <x v="0"/>
    <x v="3"/>
    <n v="2"/>
    <x v="11"/>
    <x v="1"/>
  </r>
  <r>
    <s v="TX502070"/>
    <x v="0"/>
    <x v="1"/>
    <n v="17"/>
    <n v="34"/>
    <x v="75"/>
    <d v="2025-03-19T00:00:00"/>
    <s v="F"/>
    <x v="2"/>
    <x v="0"/>
    <x v="0"/>
    <x v="3"/>
    <n v="2"/>
    <x v="11"/>
    <x v="2"/>
  </r>
  <r>
    <s v="TX502071"/>
    <x v="6"/>
    <x v="2"/>
    <n v="84.1"/>
    <n v="252.29999999999998"/>
    <x v="75"/>
    <d v="2025-03-18T00:00:00"/>
    <s v="M"/>
    <x v="2"/>
    <x v="0"/>
    <x v="0"/>
    <x v="3"/>
    <n v="1"/>
    <x v="11"/>
    <x v="1"/>
  </r>
  <r>
    <s v="TX502072"/>
    <x v="3"/>
    <x v="12"/>
    <n v="59.5"/>
    <n v="238"/>
    <x v="75"/>
    <d v="2025-03-22T00:00:00"/>
    <s v="M"/>
    <x v="0"/>
    <x v="2"/>
    <x v="0"/>
    <x v="3"/>
    <n v="5"/>
    <x v="11"/>
    <x v="1"/>
  </r>
  <r>
    <s v="TX502073"/>
    <x v="8"/>
    <x v="1"/>
    <n v="57.5"/>
    <n v="115"/>
    <x v="75"/>
    <d v="2025-03-19T00:00:00"/>
    <s v="M"/>
    <x v="1"/>
    <x v="2"/>
    <x v="0"/>
    <x v="3"/>
    <n v="2"/>
    <x v="11"/>
    <x v="1"/>
  </r>
  <r>
    <s v="TX502074"/>
    <x v="8"/>
    <x v="0"/>
    <n v="34.299999999999997"/>
    <n v="34.299999999999997"/>
    <x v="75"/>
    <d v="2025-03-18T00:00:00"/>
    <s v="F"/>
    <x v="4"/>
    <x v="2"/>
    <x v="0"/>
    <x v="3"/>
    <n v="1"/>
    <x v="11"/>
    <x v="2"/>
  </r>
  <r>
    <s v="TX502075"/>
    <x v="5"/>
    <x v="1"/>
    <n v="27.8"/>
    <n v="55.6"/>
    <x v="76"/>
    <d v="2025-03-20T00:00:00"/>
    <s v="F"/>
    <x v="0"/>
    <x v="0"/>
    <x v="0"/>
    <x v="3"/>
    <n v="2"/>
    <x v="11"/>
    <x v="2"/>
  </r>
  <r>
    <s v="TX502076"/>
    <x v="12"/>
    <x v="1"/>
    <n v="85"/>
    <n v="170"/>
    <x v="76"/>
    <d v="2025-03-18T00:00:00"/>
    <s v="M"/>
    <x v="2"/>
    <x v="2"/>
    <x v="0"/>
    <x v="3"/>
    <n v="0"/>
    <x v="11"/>
    <x v="1"/>
  </r>
  <r>
    <s v="TX502077"/>
    <x v="6"/>
    <x v="1"/>
    <n v="95"/>
    <n v="190"/>
    <x v="76"/>
    <d v="2025-03-20T00:00:00"/>
    <s v="F"/>
    <x v="0"/>
    <x v="0"/>
    <x v="0"/>
    <x v="3"/>
    <n v="2"/>
    <x v="11"/>
    <x v="2"/>
  </r>
  <r>
    <s v="TX502078"/>
    <x v="16"/>
    <x v="1"/>
    <n v="32"/>
    <n v="64"/>
    <x v="76"/>
    <d v="2025-03-20T00:00:00"/>
    <s v="M"/>
    <x v="0"/>
    <x v="1"/>
    <x v="0"/>
    <x v="3"/>
    <n v="2"/>
    <x v="11"/>
    <x v="1"/>
  </r>
  <r>
    <s v="TX502079"/>
    <x v="2"/>
    <x v="1"/>
    <n v="65.2"/>
    <n v="130.4"/>
    <x v="76"/>
    <d v="2025-03-19T00:00:00"/>
    <s v="F"/>
    <x v="1"/>
    <x v="0"/>
    <x v="0"/>
    <x v="3"/>
    <n v="1"/>
    <x v="11"/>
    <x v="2"/>
  </r>
  <r>
    <s v="TX502080"/>
    <x v="17"/>
    <x v="12"/>
    <n v="22"/>
    <n v="88"/>
    <x v="76"/>
    <d v="2025-03-19T00:00:00"/>
    <s v="M"/>
    <x v="1"/>
    <x v="2"/>
    <x v="0"/>
    <x v="3"/>
    <n v="1"/>
    <x v="11"/>
    <x v="1"/>
  </r>
  <r>
    <s v="TX502081"/>
    <x v="15"/>
    <x v="2"/>
    <n v="69.400000000000006"/>
    <n v="208.20000000000002"/>
    <x v="76"/>
    <d v="2025-03-21T00:00:00"/>
    <s v="M"/>
    <x v="1"/>
    <x v="2"/>
    <x v="0"/>
    <x v="3"/>
    <n v="3"/>
    <x v="11"/>
    <x v="1"/>
  </r>
  <r>
    <s v="TX502082"/>
    <x v="10"/>
    <x v="13"/>
    <n v="31.5"/>
    <n v="189"/>
    <x v="76"/>
    <d v="2025-03-20T00:00:00"/>
    <s v="F"/>
    <x v="0"/>
    <x v="2"/>
    <x v="0"/>
    <x v="3"/>
    <n v="2"/>
    <x v="11"/>
    <x v="2"/>
  </r>
  <r>
    <s v="TX502083"/>
    <x v="6"/>
    <x v="0"/>
    <n v="45.8"/>
    <n v="45.8"/>
    <x v="76"/>
    <d v="2025-03-22T00:00:00"/>
    <s v="O"/>
    <x v="0"/>
    <x v="0"/>
    <x v="0"/>
    <x v="3"/>
    <n v="4"/>
    <x v="11"/>
    <x v="3"/>
  </r>
  <r>
    <s v="TX502084"/>
    <x v="19"/>
    <x v="12"/>
    <n v="12.8"/>
    <n v="51.2"/>
    <x v="76"/>
    <d v="2025-03-25T00:00:00"/>
    <s v="F"/>
    <x v="1"/>
    <x v="1"/>
    <x v="0"/>
    <x v="5"/>
    <n v="7"/>
    <x v="11"/>
    <x v="2"/>
  </r>
  <r>
    <s v="TX502085"/>
    <x v="5"/>
    <x v="2"/>
    <n v="115.3"/>
    <n v="345.9"/>
    <x v="76"/>
    <d v="2025-03-19T00:00:00"/>
    <s v="F"/>
    <x v="2"/>
    <x v="2"/>
    <x v="0"/>
    <x v="6"/>
    <n v="1"/>
    <x v="11"/>
    <x v="2"/>
  </r>
  <r>
    <s v="TX502086"/>
    <x v="5"/>
    <x v="1"/>
    <n v="85"/>
    <n v="170"/>
    <x v="76"/>
    <d v="2025-03-20T00:00:00"/>
    <s v="F"/>
    <x v="1"/>
    <x v="0"/>
    <x v="0"/>
    <x v="7"/>
    <n v="2"/>
    <x v="11"/>
    <x v="2"/>
  </r>
  <r>
    <s v="TX502087"/>
    <x v="8"/>
    <x v="2"/>
    <n v="56.6"/>
    <n v="169.8"/>
    <x v="76"/>
    <d v="2025-03-19T00:00:00"/>
    <s v="F"/>
    <x v="1"/>
    <x v="2"/>
    <x v="0"/>
    <x v="7"/>
    <n v="1"/>
    <x v="11"/>
    <x v="2"/>
  </r>
  <r>
    <s v="TX502088"/>
    <x v="15"/>
    <x v="6"/>
    <n v="46.3"/>
    <n v="1250.0999999999999"/>
    <x v="76"/>
    <d v="2025-03-21T00:00:00"/>
    <s v="M"/>
    <x v="0"/>
    <x v="0"/>
    <x v="0"/>
    <x v="7"/>
    <n v="3"/>
    <x v="11"/>
    <x v="1"/>
  </r>
  <r>
    <s v="TX502089"/>
    <x v="14"/>
    <x v="12"/>
    <n v="23"/>
    <n v="92"/>
    <x v="76"/>
    <d v="2025-03-22T00:00:00"/>
    <s v="M"/>
    <x v="3"/>
    <x v="2"/>
    <x v="0"/>
    <x v="7"/>
    <n v="4"/>
    <x v="11"/>
    <x v="1"/>
  </r>
  <r>
    <s v="TX502090"/>
    <x v="8"/>
    <x v="13"/>
    <n v="42.1"/>
    <n v="252.60000000000002"/>
    <x v="76"/>
    <d v="2025-03-20T00:00:00"/>
    <s v="M"/>
    <x v="4"/>
    <x v="0"/>
    <x v="0"/>
    <x v="8"/>
    <n v="2"/>
    <x v="11"/>
    <x v="1"/>
  </r>
  <r>
    <s v="TX502091"/>
    <x v="5"/>
    <x v="3"/>
    <n v="57.4"/>
    <n v="401.8"/>
    <x v="76"/>
    <d v="2025-03-22T00:00:00"/>
    <s v="F"/>
    <x v="1"/>
    <x v="4"/>
    <x v="0"/>
    <x v="8"/>
    <n v="4"/>
    <x v="11"/>
    <x v="2"/>
  </r>
  <r>
    <s v="TX502092"/>
    <x v="0"/>
    <x v="13"/>
    <n v="13.2"/>
    <n v="79.199999999999989"/>
    <x v="76"/>
    <d v="2025-03-22T00:00:00"/>
    <s v="M"/>
    <x v="2"/>
    <x v="0"/>
    <x v="0"/>
    <x v="8"/>
    <n v="4"/>
    <x v="11"/>
    <x v="1"/>
  </r>
  <r>
    <s v="TX502093"/>
    <x v="6"/>
    <x v="2"/>
    <n v="52.3"/>
    <n v="156.89999999999998"/>
    <x v="76"/>
    <d v="2025-03-19T00:00:00"/>
    <s v="M"/>
    <x v="1"/>
    <x v="0"/>
    <x v="0"/>
    <x v="8"/>
    <n v="1"/>
    <x v="11"/>
    <x v="1"/>
  </r>
  <r>
    <s v="TX502094"/>
    <x v="8"/>
    <x v="1"/>
    <n v="15.7"/>
    <n v="31.4"/>
    <x v="76"/>
    <d v="2025-03-21T00:00:00"/>
    <s v="M"/>
    <x v="1"/>
    <x v="2"/>
    <x v="0"/>
    <x v="8"/>
    <n v="3"/>
    <x v="11"/>
    <x v="1"/>
  </r>
  <r>
    <s v="TX502095"/>
    <x v="7"/>
    <x v="2"/>
    <n v="35"/>
    <n v="105"/>
    <x v="76"/>
    <d v="2025-03-21T00:00:00"/>
    <s v="F"/>
    <x v="1"/>
    <x v="2"/>
    <x v="0"/>
    <x v="9"/>
    <n v="3"/>
    <x v="11"/>
    <x v="2"/>
  </r>
  <r>
    <s v="TX502096"/>
    <x v="4"/>
    <x v="2"/>
    <n v="26.6"/>
    <n v="79.800000000000011"/>
    <x v="76"/>
    <d v="2025-03-18T00:00:00"/>
    <s v="M"/>
    <x v="1"/>
    <x v="2"/>
    <x v="0"/>
    <x v="11"/>
    <n v="0"/>
    <x v="11"/>
    <x v="1"/>
  </r>
  <r>
    <s v="TX502097"/>
    <x v="4"/>
    <x v="8"/>
    <n v="47.9"/>
    <n v="383.2"/>
    <x v="77"/>
    <d v="2025-03-20T00:00:00"/>
    <s v="F"/>
    <x v="3"/>
    <x v="2"/>
    <x v="0"/>
    <x v="20"/>
    <n v="1"/>
    <x v="11"/>
    <x v="2"/>
  </r>
  <r>
    <s v="TX502098"/>
    <x v="5"/>
    <x v="0"/>
    <n v="80.099999999999994"/>
    <n v="80.099999999999994"/>
    <x v="77"/>
    <d v="2025-03-20T00:00:00"/>
    <s v="M"/>
    <x v="2"/>
    <x v="0"/>
    <x v="0"/>
    <x v="21"/>
    <n v="1"/>
    <x v="11"/>
    <x v="1"/>
  </r>
  <r>
    <s v="TX502099"/>
    <x v="6"/>
    <x v="9"/>
    <n v="50.4"/>
    <n v="252"/>
    <x v="77"/>
    <d v="2025-03-20T00:00:00"/>
    <s v="M"/>
    <x v="1"/>
    <x v="2"/>
    <x v="0"/>
    <x v="21"/>
    <n v="1"/>
    <x v="11"/>
    <x v="1"/>
  </r>
  <r>
    <s v="TX502100"/>
    <x v="10"/>
    <x v="3"/>
    <n v="43.3"/>
    <n v="303.09999999999997"/>
    <x v="77"/>
    <d v="2025-03-20T00:00:00"/>
    <s v="M"/>
    <x v="2"/>
    <x v="0"/>
    <x v="0"/>
    <x v="21"/>
    <n v="1"/>
    <x v="11"/>
    <x v="1"/>
  </r>
  <r>
    <s v="TX502101"/>
    <x v="10"/>
    <x v="12"/>
    <n v="57.5"/>
    <n v="230"/>
    <x v="77"/>
    <d v="2025-03-20T00:00:00"/>
    <s v="F"/>
    <x v="1"/>
    <x v="2"/>
    <x v="0"/>
    <x v="1"/>
    <n v="1"/>
    <x v="11"/>
    <x v="2"/>
  </r>
  <r>
    <s v="TX502102"/>
    <x v="9"/>
    <x v="15"/>
    <n v="24.8"/>
    <n v="322.40000000000003"/>
    <x v="77"/>
    <d v="2025-03-20T00:00:00"/>
    <s v="M"/>
    <x v="0"/>
    <x v="0"/>
    <x v="0"/>
    <x v="57"/>
    <n v="1"/>
    <x v="11"/>
    <x v="1"/>
  </r>
  <r>
    <s v="TX502103"/>
    <x v="2"/>
    <x v="11"/>
    <n v="85.7"/>
    <n v="771.30000000000007"/>
    <x v="77"/>
    <d v="2025-03-20T00:00:00"/>
    <s v="F"/>
    <x v="0"/>
    <x v="0"/>
    <x v="0"/>
    <x v="42"/>
    <n v="1"/>
    <x v="11"/>
    <x v="2"/>
  </r>
  <r>
    <s v="TX502104"/>
    <x v="7"/>
    <x v="0"/>
    <n v="47.1"/>
    <n v="47.1"/>
    <x v="77"/>
    <d v="2025-03-21T00:00:00"/>
    <s v="F"/>
    <x v="0"/>
    <x v="0"/>
    <x v="0"/>
    <x v="2"/>
    <n v="2"/>
    <x v="11"/>
    <x v="2"/>
  </r>
  <r>
    <s v="TX502105"/>
    <x v="5"/>
    <x v="7"/>
    <n v="83.2"/>
    <n v="832"/>
    <x v="77"/>
    <d v="2025-03-23T00:00:00"/>
    <s v="F"/>
    <x v="0"/>
    <x v="0"/>
    <x v="0"/>
    <x v="33"/>
    <n v="4"/>
    <x v="11"/>
    <x v="2"/>
  </r>
  <r>
    <s v="TX502106"/>
    <x v="2"/>
    <x v="2"/>
    <n v="157"/>
    <n v="471"/>
    <x v="77"/>
    <d v="2025-03-21T00:00:00"/>
    <s v="F"/>
    <x v="0"/>
    <x v="2"/>
    <x v="0"/>
    <x v="22"/>
    <n v="2"/>
    <x v="11"/>
    <x v="2"/>
  </r>
  <r>
    <s v="TX502107"/>
    <x v="16"/>
    <x v="12"/>
    <n v="33.700000000000003"/>
    <n v="134.80000000000001"/>
    <x v="77"/>
    <d v="2025-03-20T00:00:00"/>
    <s v="M"/>
    <x v="2"/>
    <x v="2"/>
    <x v="0"/>
    <x v="22"/>
    <n v="1"/>
    <x v="11"/>
    <x v="1"/>
  </r>
  <r>
    <s v="TX502108"/>
    <x v="2"/>
    <x v="2"/>
    <n v="60.8"/>
    <n v="182.39999999999998"/>
    <x v="77"/>
    <d v="2025-03-23T00:00:00"/>
    <s v="F"/>
    <x v="1"/>
    <x v="1"/>
    <x v="0"/>
    <x v="3"/>
    <n v="4"/>
    <x v="11"/>
    <x v="2"/>
  </r>
  <r>
    <s v="TX502109"/>
    <x v="7"/>
    <x v="0"/>
    <n v="57.6"/>
    <n v="57.6"/>
    <x v="77"/>
    <d v="2025-03-20T00:00:00"/>
    <s v="M"/>
    <x v="1"/>
    <x v="4"/>
    <x v="0"/>
    <x v="3"/>
    <n v="1"/>
    <x v="11"/>
    <x v="1"/>
  </r>
  <r>
    <s v="TX502110"/>
    <x v="10"/>
    <x v="0"/>
    <n v="32"/>
    <n v="32"/>
    <x v="77"/>
    <d v="2025-03-21T00:00:00"/>
    <s v="M"/>
    <x v="0"/>
    <x v="0"/>
    <x v="0"/>
    <x v="3"/>
    <n v="2"/>
    <x v="11"/>
    <x v="1"/>
  </r>
  <r>
    <s v="TX502111"/>
    <x v="10"/>
    <x v="12"/>
    <n v="23.5"/>
    <n v="94"/>
    <x v="77"/>
    <d v="2025-03-20T00:00:00"/>
    <s v="F"/>
    <x v="0"/>
    <x v="2"/>
    <x v="0"/>
    <x v="3"/>
    <n v="1"/>
    <x v="11"/>
    <x v="2"/>
  </r>
  <r>
    <s v="TX502112"/>
    <x v="12"/>
    <x v="2"/>
    <n v="44.8"/>
    <n v="134.39999999999998"/>
    <x v="77"/>
    <d v="2025-03-20T00:00:00"/>
    <s v="O"/>
    <x v="4"/>
    <x v="0"/>
    <x v="0"/>
    <x v="3"/>
    <n v="1"/>
    <x v="11"/>
    <x v="3"/>
  </r>
  <r>
    <s v="TX502113"/>
    <x v="0"/>
    <x v="8"/>
    <n v="11.7"/>
    <n v="93.6"/>
    <x v="77"/>
    <d v="2025-03-20T00:00:00"/>
    <s v="M"/>
    <x v="2"/>
    <x v="2"/>
    <x v="0"/>
    <x v="3"/>
    <n v="1"/>
    <x v="11"/>
    <x v="1"/>
  </r>
  <r>
    <s v="TX502114"/>
    <x v="7"/>
    <x v="1"/>
    <n v="38.799999999999997"/>
    <n v="77.599999999999994"/>
    <x v="77"/>
    <d v="2025-03-22T00:00:00"/>
    <s v="F"/>
    <x v="2"/>
    <x v="0"/>
    <x v="0"/>
    <x v="3"/>
    <n v="3"/>
    <x v="11"/>
    <x v="2"/>
  </r>
  <r>
    <s v="TX502115"/>
    <x v="5"/>
    <x v="21"/>
    <n v="86.9"/>
    <n v="1216.6000000000001"/>
    <x v="77"/>
    <d v="2025-03-24T00:00:00"/>
    <s v="F"/>
    <x v="1"/>
    <x v="0"/>
    <x v="0"/>
    <x v="3"/>
    <n v="5"/>
    <x v="11"/>
    <x v="2"/>
  </r>
  <r>
    <s v="TX502116"/>
    <x v="8"/>
    <x v="0"/>
    <n v="18.3"/>
    <n v="18.3"/>
    <x v="77"/>
    <d v="2025-03-20T00:00:00"/>
    <s v="F"/>
    <x v="0"/>
    <x v="0"/>
    <x v="0"/>
    <x v="3"/>
    <n v="1"/>
    <x v="11"/>
    <x v="2"/>
  </r>
  <r>
    <s v="TX502117"/>
    <x v="5"/>
    <x v="0"/>
    <n v="47.5"/>
    <n v="47.5"/>
    <x v="77"/>
    <d v="2025-03-23T00:00:00"/>
    <s v="M"/>
    <x v="4"/>
    <x v="2"/>
    <x v="0"/>
    <x v="3"/>
    <n v="4"/>
    <x v="11"/>
    <x v="1"/>
  </r>
  <r>
    <s v="TX502118"/>
    <x v="1"/>
    <x v="1"/>
    <n v="78.599999999999994"/>
    <n v="157.19999999999999"/>
    <x v="77"/>
    <d v="2025-03-20T00:00:00"/>
    <s v="M"/>
    <x v="2"/>
    <x v="2"/>
    <x v="0"/>
    <x v="3"/>
    <n v="1"/>
    <x v="11"/>
    <x v="1"/>
  </r>
  <r>
    <s v="TX502119"/>
    <x v="6"/>
    <x v="12"/>
    <n v="87.3"/>
    <n v="349.2"/>
    <x v="77"/>
    <d v="2025-03-20T00:00:00"/>
    <s v="M"/>
    <x v="0"/>
    <x v="0"/>
    <x v="0"/>
    <x v="3"/>
    <n v="1"/>
    <x v="11"/>
    <x v="1"/>
  </r>
  <r>
    <s v="TX502120"/>
    <x v="9"/>
    <x v="1"/>
    <n v="63.2"/>
    <n v="126.4"/>
    <x v="77"/>
    <d v="2025-03-19T00:00:00"/>
    <s v="M"/>
    <x v="4"/>
    <x v="1"/>
    <x v="0"/>
    <x v="3"/>
    <n v="0"/>
    <x v="11"/>
    <x v="1"/>
  </r>
  <r>
    <s v="TX502121"/>
    <x v="5"/>
    <x v="9"/>
    <n v="33.700000000000003"/>
    <n v="168.5"/>
    <x v="77"/>
    <d v="2025-03-20T00:00:00"/>
    <s v="F"/>
    <x v="0"/>
    <x v="0"/>
    <x v="0"/>
    <x v="3"/>
    <n v="1"/>
    <x v="11"/>
    <x v="2"/>
  </r>
  <r>
    <s v="TX502122"/>
    <x v="2"/>
    <x v="2"/>
    <n v="107.4"/>
    <n v="322.20000000000005"/>
    <x v="77"/>
    <d v="2025-04-01T00:00:00"/>
    <s v="F"/>
    <x v="1"/>
    <x v="2"/>
    <x v="0"/>
    <x v="3"/>
    <n v="13"/>
    <x v="11"/>
    <x v="2"/>
  </r>
  <r>
    <s v="TX502123"/>
    <x v="4"/>
    <x v="12"/>
    <n v="22.2"/>
    <n v="88.8"/>
    <x v="77"/>
    <d v="2025-03-20T00:00:00"/>
    <s v=""/>
    <x v="1"/>
    <x v="2"/>
    <x v="0"/>
    <x v="24"/>
    <n v="1"/>
    <x v="11"/>
    <x v="0"/>
  </r>
  <r>
    <s v="TX502124"/>
    <x v="18"/>
    <x v="2"/>
    <n v="52.8"/>
    <n v="158.39999999999998"/>
    <x v="77"/>
    <d v="2025-03-20T00:00:00"/>
    <s v="M"/>
    <x v="3"/>
    <x v="2"/>
    <x v="0"/>
    <x v="24"/>
    <n v="1"/>
    <x v="11"/>
    <x v="1"/>
  </r>
  <r>
    <s v="TX502125"/>
    <x v="8"/>
    <x v="2"/>
    <n v="41.5"/>
    <n v="124.5"/>
    <x v="77"/>
    <d v="2025-03-22T00:00:00"/>
    <s v="F"/>
    <x v="0"/>
    <x v="0"/>
    <x v="0"/>
    <x v="25"/>
    <n v="3"/>
    <x v="11"/>
    <x v="2"/>
  </r>
  <r>
    <s v="TX502126"/>
    <x v="12"/>
    <x v="8"/>
    <n v="103.5"/>
    <n v="828"/>
    <x v="77"/>
    <d v="2025-03-22T00:00:00"/>
    <s v="F"/>
    <x v="0"/>
    <x v="2"/>
    <x v="0"/>
    <x v="23"/>
    <n v="3"/>
    <x v="11"/>
    <x v="2"/>
  </r>
  <r>
    <s v="TX502127"/>
    <x v="4"/>
    <x v="21"/>
    <n v="37.5"/>
    <n v="525"/>
    <x v="77"/>
    <d v="2025-03-19T00:00:00"/>
    <s v="F"/>
    <x v="1"/>
    <x v="2"/>
    <x v="0"/>
    <x v="6"/>
    <n v="0"/>
    <x v="11"/>
    <x v="2"/>
  </r>
  <r>
    <s v="TX502128"/>
    <x v="15"/>
    <x v="8"/>
    <n v="44.4"/>
    <n v="355.2"/>
    <x v="77"/>
    <d v="2025-03-25T00:00:00"/>
    <s v="F"/>
    <x v="3"/>
    <x v="2"/>
    <x v="0"/>
    <x v="7"/>
    <n v="6"/>
    <x v="11"/>
    <x v="2"/>
  </r>
  <r>
    <s v="TX502129"/>
    <x v="8"/>
    <x v="2"/>
    <n v="26.2"/>
    <n v="78.599999999999994"/>
    <x v="77"/>
    <d v="2025-03-20T00:00:00"/>
    <s v="M"/>
    <x v="0"/>
    <x v="0"/>
    <x v="0"/>
    <x v="8"/>
    <n v="1"/>
    <x v="11"/>
    <x v="1"/>
  </r>
  <r>
    <s v="TX502130"/>
    <x v="1"/>
    <x v="3"/>
    <n v="32.200000000000003"/>
    <n v="225.40000000000003"/>
    <x v="77"/>
    <d v="2025-03-20T00:00:00"/>
    <s v="F"/>
    <x v="1"/>
    <x v="2"/>
    <x v="0"/>
    <x v="8"/>
    <n v="1"/>
    <x v="11"/>
    <x v="2"/>
  </r>
  <r>
    <s v="TX502131"/>
    <x v="8"/>
    <x v="0"/>
    <n v="17.399999999999999"/>
    <n v="17.399999999999999"/>
    <x v="77"/>
    <d v="2025-03-23T00:00:00"/>
    <s v=""/>
    <x v="2"/>
    <x v="1"/>
    <x v="0"/>
    <x v="8"/>
    <n v="4"/>
    <x v="11"/>
    <x v="0"/>
  </r>
  <r>
    <s v="TX502132"/>
    <x v="8"/>
    <x v="13"/>
    <n v="72.3"/>
    <n v="433.79999999999995"/>
    <x v="77"/>
    <d v="2025-03-22T00:00:00"/>
    <s v="F"/>
    <x v="0"/>
    <x v="0"/>
    <x v="0"/>
    <x v="8"/>
    <n v="3"/>
    <x v="11"/>
    <x v="2"/>
  </r>
  <r>
    <s v="TX502133"/>
    <x v="8"/>
    <x v="5"/>
    <n v="24.3"/>
    <n v="267.3"/>
    <x v="77"/>
    <d v="2025-03-20T00:00:00"/>
    <s v="M"/>
    <x v="0"/>
    <x v="0"/>
    <x v="0"/>
    <x v="8"/>
    <n v="1"/>
    <x v="11"/>
    <x v="1"/>
  </r>
  <r>
    <s v="TX502134"/>
    <x v="13"/>
    <x v="2"/>
    <n v="49.1"/>
    <n v="147.30000000000001"/>
    <x v="77"/>
    <d v="2025-03-25T00:00:00"/>
    <s v="M"/>
    <x v="2"/>
    <x v="4"/>
    <x v="0"/>
    <x v="8"/>
    <n v="6"/>
    <x v="11"/>
    <x v="1"/>
  </r>
  <r>
    <s v="TX502135"/>
    <x v="2"/>
    <x v="7"/>
    <n v="234.7"/>
    <n v="2347"/>
    <x v="77"/>
    <d v="2025-03-20T00:00:00"/>
    <s v="M"/>
    <x v="3"/>
    <x v="1"/>
    <x v="0"/>
    <x v="8"/>
    <n v="1"/>
    <x v="11"/>
    <x v="1"/>
  </r>
  <r>
    <s v="TX502136"/>
    <x v="3"/>
    <x v="9"/>
    <n v="76.099999999999994"/>
    <n v="380.5"/>
    <x v="77"/>
    <d v="2025-03-21T00:00:00"/>
    <s v="M"/>
    <x v="1"/>
    <x v="1"/>
    <x v="0"/>
    <x v="17"/>
    <n v="2"/>
    <x v="11"/>
    <x v="1"/>
  </r>
  <r>
    <s v="TX502137"/>
    <x v="1"/>
    <x v="2"/>
    <n v="93.9"/>
    <n v="281.70000000000005"/>
    <x v="77"/>
    <d v="2025-03-20T00:00:00"/>
    <s v="M"/>
    <x v="1"/>
    <x v="4"/>
    <x v="0"/>
    <x v="11"/>
    <n v="1"/>
    <x v="11"/>
    <x v="1"/>
  </r>
  <r>
    <s v="TX502138"/>
    <x v="2"/>
    <x v="12"/>
    <n v="187"/>
    <n v="748"/>
    <x v="78"/>
    <d v="2025-03-23T00:00:00"/>
    <s v="M"/>
    <x v="0"/>
    <x v="0"/>
    <x v="0"/>
    <x v="11"/>
    <n v="3"/>
    <x v="11"/>
    <x v="1"/>
  </r>
  <r>
    <s v="TX502139"/>
    <x v="8"/>
    <x v="1"/>
    <n v="18"/>
    <n v="36"/>
    <x v="78"/>
    <d v="2025-03-21T00:00:00"/>
    <s v="F"/>
    <x v="1"/>
    <x v="2"/>
    <x v="0"/>
    <x v="53"/>
    <n v="1"/>
    <x v="11"/>
    <x v="2"/>
  </r>
  <r>
    <s v="TX502140"/>
    <x v="4"/>
    <x v="0"/>
    <n v="24.4"/>
    <n v="24.4"/>
    <x v="78"/>
    <d v="2025-03-21T00:00:00"/>
    <s v="F"/>
    <x v="4"/>
    <x v="2"/>
    <x v="0"/>
    <x v="21"/>
    <n v="1"/>
    <x v="11"/>
    <x v="2"/>
  </r>
  <r>
    <s v="TX502141"/>
    <x v="10"/>
    <x v="1"/>
    <n v="38.799999999999997"/>
    <n v="77.599999999999994"/>
    <x v="78"/>
    <d v="2025-03-21T00:00:00"/>
    <s v="M"/>
    <x v="4"/>
    <x v="1"/>
    <x v="0"/>
    <x v="3"/>
    <n v="1"/>
    <x v="11"/>
    <x v="1"/>
  </r>
  <r>
    <s v="TX502142"/>
    <x v="3"/>
    <x v="0"/>
    <n v="59.7"/>
    <n v="59.7"/>
    <x v="78"/>
    <d v="2025-03-23T00:00:00"/>
    <s v="M"/>
    <x v="3"/>
    <x v="0"/>
    <x v="0"/>
    <x v="3"/>
    <n v="3"/>
    <x v="11"/>
    <x v="1"/>
  </r>
  <r>
    <s v="TX502143"/>
    <x v="7"/>
    <x v="0"/>
    <n v="31.2"/>
    <n v="31.2"/>
    <x v="78"/>
    <d v="2025-03-21T00:00:00"/>
    <s v="M"/>
    <x v="1"/>
    <x v="2"/>
    <x v="0"/>
    <x v="3"/>
    <n v="1"/>
    <x v="11"/>
    <x v="1"/>
  </r>
  <r>
    <s v="TX502144"/>
    <x v="0"/>
    <x v="0"/>
    <n v="16.8"/>
    <n v="16.8"/>
    <x v="78"/>
    <d v="2025-03-21T00:00:00"/>
    <s v="F"/>
    <x v="2"/>
    <x v="1"/>
    <x v="0"/>
    <x v="3"/>
    <n v="1"/>
    <x v="11"/>
    <x v="2"/>
  </r>
  <r>
    <s v="TX502145"/>
    <x v="8"/>
    <x v="0"/>
    <n v="46"/>
    <n v="46"/>
    <x v="78"/>
    <d v="2025-03-21T00:00:00"/>
    <s v="M"/>
    <x v="0"/>
    <x v="0"/>
    <x v="0"/>
    <x v="3"/>
    <n v="1"/>
    <x v="11"/>
    <x v="1"/>
  </r>
  <r>
    <s v="TX502146"/>
    <x v="9"/>
    <x v="8"/>
    <n v="42.2"/>
    <n v="337.6"/>
    <x v="78"/>
    <d v="2025-03-23T00:00:00"/>
    <s v="F"/>
    <x v="3"/>
    <x v="2"/>
    <x v="0"/>
    <x v="3"/>
    <n v="3"/>
    <x v="11"/>
    <x v="2"/>
  </r>
  <r>
    <s v="TX502147"/>
    <x v="1"/>
    <x v="2"/>
    <n v="71.5"/>
    <n v="214.5"/>
    <x v="78"/>
    <d v="2025-04-03T00:00:00"/>
    <s v="F"/>
    <x v="0"/>
    <x v="0"/>
    <x v="0"/>
    <x v="3"/>
    <n v="14"/>
    <x v="11"/>
    <x v="2"/>
  </r>
  <r>
    <s v="TX502148"/>
    <x v="1"/>
    <x v="1"/>
    <n v="76.599999999999994"/>
    <n v="153.19999999999999"/>
    <x v="78"/>
    <d v="2025-03-20T00:00:00"/>
    <s v="M"/>
    <x v="0"/>
    <x v="2"/>
    <x v="0"/>
    <x v="3"/>
    <n v="0"/>
    <x v="11"/>
    <x v="1"/>
  </r>
  <r>
    <s v="TX502149"/>
    <x v="12"/>
    <x v="1"/>
    <n v="87.3"/>
    <n v="174.6"/>
    <x v="78"/>
    <d v="2025-03-28T00:00:00"/>
    <s v="F"/>
    <x v="3"/>
    <x v="2"/>
    <x v="0"/>
    <x v="3"/>
    <n v="8"/>
    <x v="11"/>
    <x v="2"/>
  </r>
  <r>
    <s v="TX502150"/>
    <x v="1"/>
    <x v="0"/>
    <n v="63"/>
    <n v="63"/>
    <x v="78"/>
    <d v="2025-03-23T00:00:00"/>
    <s v="M"/>
    <x v="3"/>
    <x v="0"/>
    <x v="0"/>
    <x v="3"/>
    <n v="3"/>
    <x v="11"/>
    <x v="1"/>
  </r>
  <r>
    <s v="TX502151"/>
    <x v="8"/>
    <x v="1"/>
    <n v="41.7"/>
    <n v="83.4"/>
    <x v="78"/>
    <d v="2025-03-21T00:00:00"/>
    <s v="F"/>
    <x v="4"/>
    <x v="1"/>
    <x v="0"/>
    <x v="43"/>
    <n v="1"/>
    <x v="11"/>
    <x v="2"/>
  </r>
  <r>
    <s v="TX502152"/>
    <x v="6"/>
    <x v="1"/>
    <n v="76.099999999999994"/>
    <n v="152.19999999999999"/>
    <x v="78"/>
    <d v="2025-03-20T00:00:00"/>
    <s v="F"/>
    <x v="4"/>
    <x v="2"/>
    <x v="0"/>
    <x v="16"/>
    <n v="0"/>
    <x v="11"/>
    <x v="2"/>
  </r>
  <r>
    <s v="TX502153"/>
    <x v="13"/>
    <x v="1"/>
    <n v="28.5"/>
    <n v="57"/>
    <x v="78"/>
    <d v="2025-03-21T00:00:00"/>
    <s v="F"/>
    <x v="0"/>
    <x v="2"/>
    <x v="0"/>
    <x v="4"/>
    <n v="1"/>
    <x v="11"/>
    <x v="2"/>
  </r>
  <r>
    <s v="TX502154"/>
    <x v="0"/>
    <x v="12"/>
    <n v="32.1"/>
    <n v="128.4"/>
    <x v="78"/>
    <d v="2025-03-21T00:00:00"/>
    <s v="F"/>
    <x v="1"/>
    <x v="2"/>
    <x v="0"/>
    <x v="25"/>
    <n v="1"/>
    <x v="11"/>
    <x v="2"/>
  </r>
  <r>
    <s v="TX502155"/>
    <x v="4"/>
    <x v="2"/>
    <n v="39"/>
    <n v="117"/>
    <x v="78"/>
    <d v="2025-03-23T00:00:00"/>
    <s v="M"/>
    <x v="1"/>
    <x v="2"/>
    <x v="0"/>
    <x v="25"/>
    <n v="3"/>
    <x v="11"/>
    <x v="1"/>
  </r>
  <r>
    <s v="TX502156"/>
    <x v="6"/>
    <x v="0"/>
    <n v="78.5"/>
    <n v="78.5"/>
    <x v="78"/>
    <d v="2025-03-21T00:00:00"/>
    <s v="M"/>
    <x v="1"/>
    <x v="0"/>
    <x v="0"/>
    <x v="6"/>
    <n v="1"/>
    <x v="11"/>
    <x v="1"/>
  </r>
  <r>
    <s v="TX502157"/>
    <x v="4"/>
    <x v="9"/>
    <n v="49.7"/>
    <n v="248.5"/>
    <x v="78"/>
    <d v="2025-03-22T00:00:00"/>
    <s v="F"/>
    <x v="0"/>
    <x v="0"/>
    <x v="0"/>
    <x v="6"/>
    <n v="2"/>
    <x v="11"/>
    <x v="2"/>
  </r>
  <r>
    <s v="TX502158"/>
    <x v="1"/>
    <x v="12"/>
    <n v="68.400000000000006"/>
    <n v="273.60000000000002"/>
    <x v="78"/>
    <d v="2025-03-21T00:00:00"/>
    <s v="F"/>
    <x v="2"/>
    <x v="2"/>
    <x v="0"/>
    <x v="7"/>
    <n v="1"/>
    <x v="11"/>
    <x v="2"/>
  </r>
  <r>
    <s v="TX502159"/>
    <x v="3"/>
    <x v="1"/>
    <n v="72.900000000000006"/>
    <n v="145.80000000000001"/>
    <x v="78"/>
    <d v="2025-03-23T00:00:00"/>
    <s v=""/>
    <x v="0"/>
    <x v="2"/>
    <x v="0"/>
    <x v="7"/>
    <n v="3"/>
    <x v="11"/>
    <x v="0"/>
  </r>
  <r>
    <s v="TX502160"/>
    <x v="5"/>
    <x v="15"/>
    <n v="30.3"/>
    <n v="393.90000000000003"/>
    <x v="78"/>
    <d v="2025-03-21T00:00:00"/>
    <s v="M"/>
    <x v="4"/>
    <x v="0"/>
    <x v="0"/>
    <x v="7"/>
    <n v="1"/>
    <x v="11"/>
    <x v="1"/>
  </r>
  <r>
    <s v="TX502161"/>
    <x v="6"/>
    <x v="5"/>
    <n v="57.9"/>
    <n v="636.9"/>
    <x v="78"/>
    <d v="2025-03-21T00:00:00"/>
    <s v="F"/>
    <x v="0"/>
    <x v="0"/>
    <x v="0"/>
    <x v="8"/>
    <n v="1"/>
    <x v="11"/>
    <x v="2"/>
  </r>
  <r>
    <s v="TX502162"/>
    <x v="1"/>
    <x v="0"/>
    <n v="96.7"/>
    <n v="96.7"/>
    <x v="78"/>
    <d v="2025-03-21T00:00:00"/>
    <s v="M"/>
    <x v="0"/>
    <x v="0"/>
    <x v="0"/>
    <x v="8"/>
    <n v="1"/>
    <x v="11"/>
    <x v="1"/>
  </r>
  <r>
    <s v="TX502163"/>
    <x v="8"/>
    <x v="4"/>
    <n v="27.6"/>
    <n v="331.20000000000005"/>
    <x v="78"/>
    <d v="2025-03-22T00:00:00"/>
    <s v="M"/>
    <x v="2"/>
    <x v="2"/>
    <x v="0"/>
    <x v="8"/>
    <n v="2"/>
    <x v="11"/>
    <x v="1"/>
  </r>
  <r>
    <s v="TX502164"/>
    <x v="6"/>
    <x v="12"/>
    <n v="64.7"/>
    <n v="258.8"/>
    <x v="78"/>
    <d v="2025-03-20T00:00:00"/>
    <s v="M"/>
    <x v="3"/>
    <x v="2"/>
    <x v="0"/>
    <x v="8"/>
    <n v="0"/>
    <x v="11"/>
    <x v="1"/>
  </r>
  <r>
    <s v="TX502165"/>
    <x v="10"/>
    <x v="13"/>
    <n v="30.5"/>
    <n v="183"/>
    <x v="78"/>
    <d v="2025-03-21T00:00:00"/>
    <s v="M"/>
    <x v="4"/>
    <x v="0"/>
    <x v="0"/>
    <x v="8"/>
    <n v="1"/>
    <x v="11"/>
    <x v="1"/>
  </r>
  <r>
    <s v="TX502166"/>
    <x v="6"/>
    <x v="47"/>
    <n v="106"/>
    <n v="7420"/>
    <x v="79"/>
    <d v="2025-03-23T00:00:00"/>
    <s v="M"/>
    <x v="4"/>
    <x v="2"/>
    <x v="0"/>
    <x v="8"/>
    <n v="2"/>
    <x v="11"/>
    <x v="1"/>
  </r>
  <r>
    <s v="TX502167"/>
    <x v="12"/>
    <x v="9"/>
    <n v="76.8"/>
    <n v="384"/>
    <x v="79"/>
    <d v="2025-03-27T00:00:00"/>
    <s v=""/>
    <x v="1"/>
    <x v="1"/>
    <x v="0"/>
    <x v="18"/>
    <n v="6"/>
    <x v="11"/>
    <x v="0"/>
  </r>
  <r>
    <s v="TX502168"/>
    <x v="6"/>
    <x v="1"/>
    <n v="80.400000000000006"/>
    <n v="160.80000000000001"/>
    <x v="79"/>
    <d v="2025-03-22T00:00:00"/>
    <s v="F"/>
    <x v="2"/>
    <x v="0"/>
    <x v="0"/>
    <x v="13"/>
    <n v="1"/>
    <x v="11"/>
    <x v="2"/>
  </r>
  <r>
    <s v="TX502169"/>
    <x v="6"/>
    <x v="12"/>
    <n v="69.099999999999994"/>
    <n v="276.39999999999998"/>
    <x v="79"/>
    <d v="2025-03-22T00:00:00"/>
    <s v="M"/>
    <x v="1"/>
    <x v="2"/>
    <x v="0"/>
    <x v="21"/>
    <n v="1"/>
    <x v="11"/>
    <x v="1"/>
  </r>
  <r>
    <s v="TX502170"/>
    <x v="18"/>
    <x v="1"/>
    <n v="76.400000000000006"/>
    <n v="152.80000000000001"/>
    <x v="79"/>
    <d v="2025-03-21T00:00:00"/>
    <s v="M"/>
    <x v="3"/>
    <x v="0"/>
    <x v="0"/>
    <x v="21"/>
    <n v="0"/>
    <x v="11"/>
    <x v="1"/>
  </r>
  <r>
    <s v="TX502171"/>
    <x v="2"/>
    <x v="1"/>
    <n v="61.3"/>
    <n v="122.6"/>
    <x v="79"/>
    <d v="2025-03-22T00:00:00"/>
    <s v="F"/>
    <x v="1"/>
    <x v="1"/>
    <x v="0"/>
    <x v="21"/>
    <n v="1"/>
    <x v="11"/>
    <x v="2"/>
  </r>
  <r>
    <s v="TX502172"/>
    <x v="7"/>
    <x v="0"/>
    <n v="58"/>
    <n v="58"/>
    <x v="79"/>
    <d v="2025-03-22T00:00:00"/>
    <s v="M"/>
    <x v="3"/>
    <x v="1"/>
    <x v="0"/>
    <x v="1"/>
    <n v="1"/>
    <x v="11"/>
    <x v="1"/>
  </r>
  <r>
    <s v="TX502173"/>
    <x v="2"/>
    <x v="8"/>
    <n v="102.3"/>
    <n v="818.4"/>
    <x v="79"/>
    <d v="2025-03-23T00:00:00"/>
    <s v="M"/>
    <x v="2"/>
    <x v="0"/>
    <x v="0"/>
    <x v="42"/>
    <n v="2"/>
    <x v="11"/>
    <x v="1"/>
  </r>
  <r>
    <s v="TX502174"/>
    <x v="19"/>
    <x v="1"/>
    <n v="13.8"/>
    <n v="27.6"/>
    <x v="79"/>
    <d v="2025-03-22T00:00:00"/>
    <s v="F"/>
    <x v="4"/>
    <x v="2"/>
    <x v="0"/>
    <x v="2"/>
    <n v="1"/>
    <x v="11"/>
    <x v="2"/>
  </r>
  <r>
    <s v="TX502175"/>
    <x v="8"/>
    <x v="2"/>
    <n v="33.299999999999997"/>
    <n v="99.899999999999991"/>
    <x v="79"/>
    <d v="2025-03-24T00:00:00"/>
    <s v="F"/>
    <x v="2"/>
    <x v="0"/>
    <x v="0"/>
    <x v="22"/>
    <n v="3"/>
    <x v="11"/>
    <x v="2"/>
  </r>
  <r>
    <s v="TX502176"/>
    <x v="10"/>
    <x v="0"/>
    <n v="27.4"/>
    <n v="27.4"/>
    <x v="79"/>
    <d v="2025-03-24T00:00:00"/>
    <s v="M"/>
    <x v="0"/>
    <x v="2"/>
    <x v="0"/>
    <x v="22"/>
    <n v="3"/>
    <x v="11"/>
    <x v="1"/>
  </r>
  <r>
    <s v="TX502177"/>
    <x v="14"/>
    <x v="1"/>
    <n v="25.6"/>
    <n v="51.2"/>
    <x v="79"/>
    <d v="2025-03-22T00:00:00"/>
    <s v="F"/>
    <x v="1"/>
    <x v="1"/>
    <x v="0"/>
    <x v="3"/>
    <n v="1"/>
    <x v="11"/>
    <x v="2"/>
  </r>
  <r>
    <s v="TX502178"/>
    <x v="13"/>
    <x v="0"/>
    <n v="58.4"/>
    <n v="58.4"/>
    <x v="79"/>
    <d v="2025-03-22T00:00:00"/>
    <s v="F"/>
    <x v="2"/>
    <x v="2"/>
    <x v="0"/>
    <x v="3"/>
    <n v="1"/>
    <x v="11"/>
    <x v="2"/>
  </r>
  <r>
    <s v="TX502179"/>
    <x v="11"/>
    <x v="17"/>
    <n v="27"/>
    <n v="810"/>
    <x v="79"/>
    <d v="2025-03-22T00:00:00"/>
    <s v="F"/>
    <x v="4"/>
    <x v="0"/>
    <x v="0"/>
    <x v="3"/>
    <n v="1"/>
    <x v="11"/>
    <x v="2"/>
  </r>
  <r>
    <s v="TX502180"/>
    <x v="0"/>
    <x v="12"/>
    <n v="14.2"/>
    <n v="56.8"/>
    <x v="79"/>
    <d v="2025-03-22T00:00:00"/>
    <s v="M"/>
    <x v="0"/>
    <x v="2"/>
    <x v="0"/>
    <x v="3"/>
    <n v="1"/>
    <x v="11"/>
    <x v="1"/>
  </r>
  <r>
    <s v="TX502181"/>
    <x v="7"/>
    <x v="1"/>
    <n v="68"/>
    <n v="136"/>
    <x v="79"/>
    <d v="2025-03-31T00:00:00"/>
    <s v="M"/>
    <x v="2"/>
    <x v="1"/>
    <x v="0"/>
    <x v="3"/>
    <n v="10"/>
    <x v="11"/>
    <x v="1"/>
  </r>
  <r>
    <s v="TX502182"/>
    <x v="8"/>
    <x v="0"/>
    <n v="30.7"/>
    <n v="30.7"/>
    <x v="79"/>
    <d v="2025-03-22T00:00:00"/>
    <s v="M"/>
    <x v="0"/>
    <x v="0"/>
    <x v="0"/>
    <x v="3"/>
    <n v="1"/>
    <x v="11"/>
    <x v="1"/>
  </r>
  <r>
    <s v="TX502183"/>
    <x v="17"/>
    <x v="15"/>
    <n v="51.6"/>
    <n v="670.80000000000007"/>
    <x v="79"/>
    <d v="2025-03-24T00:00:00"/>
    <s v="O"/>
    <x v="1"/>
    <x v="2"/>
    <x v="0"/>
    <x v="3"/>
    <n v="3"/>
    <x v="11"/>
    <x v="3"/>
  </r>
  <r>
    <s v="TX502184"/>
    <x v="8"/>
    <x v="2"/>
    <n v="20.6"/>
    <n v="61.800000000000004"/>
    <x v="79"/>
    <d v="2025-03-25T00:00:00"/>
    <s v="F"/>
    <x v="4"/>
    <x v="2"/>
    <x v="0"/>
    <x v="3"/>
    <n v="4"/>
    <x v="11"/>
    <x v="2"/>
  </r>
  <r>
    <s v="TX502185"/>
    <x v="8"/>
    <x v="0"/>
    <n v="24.8"/>
    <n v="24.8"/>
    <x v="79"/>
    <d v="2025-03-22T00:00:00"/>
    <s v="M"/>
    <x v="4"/>
    <x v="0"/>
    <x v="0"/>
    <x v="3"/>
    <n v="1"/>
    <x v="11"/>
    <x v="1"/>
  </r>
  <r>
    <s v="TX502186"/>
    <x v="0"/>
    <x v="3"/>
    <n v="11.2"/>
    <n v="78.399999999999991"/>
    <x v="79"/>
    <d v="2025-03-24T00:00:00"/>
    <s v="M"/>
    <x v="1"/>
    <x v="0"/>
    <x v="0"/>
    <x v="3"/>
    <n v="3"/>
    <x v="11"/>
    <x v="1"/>
  </r>
  <r>
    <s v="TX502187"/>
    <x v="11"/>
    <x v="1"/>
    <n v="51.2"/>
    <n v="102.4"/>
    <x v="79"/>
    <d v="2025-03-22T00:00:00"/>
    <s v="F"/>
    <x v="1"/>
    <x v="2"/>
    <x v="0"/>
    <x v="3"/>
    <n v="1"/>
    <x v="11"/>
    <x v="2"/>
  </r>
  <r>
    <s v="TX502188"/>
    <x v="7"/>
    <x v="13"/>
    <n v="90.5"/>
    <n v="543"/>
    <x v="79"/>
    <d v="2025-03-22T00:00:00"/>
    <s v="F"/>
    <x v="1"/>
    <x v="4"/>
    <x v="0"/>
    <x v="3"/>
    <n v="1"/>
    <x v="11"/>
    <x v="2"/>
  </r>
  <r>
    <s v="TX502189"/>
    <x v="1"/>
    <x v="1"/>
    <n v="42.4"/>
    <n v="84.8"/>
    <x v="79"/>
    <d v="2025-03-22T00:00:00"/>
    <s v="M"/>
    <x v="1"/>
    <x v="2"/>
    <x v="0"/>
    <x v="4"/>
    <n v="1"/>
    <x v="11"/>
    <x v="1"/>
  </r>
  <r>
    <s v="TX502190"/>
    <x v="1"/>
    <x v="1"/>
    <n v="38.200000000000003"/>
    <n v="76.400000000000006"/>
    <x v="79"/>
    <d v="2025-03-22T00:00:00"/>
    <s v="M"/>
    <x v="0"/>
    <x v="0"/>
    <x v="0"/>
    <x v="5"/>
    <n v="1"/>
    <x v="11"/>
    <x v="1"/>
  </r>
  <r>
    <s v="TX502191"/>
    <x v="2"/>
    <x v="11"/>
    <n v="121.3"/>
    <n v="1091.7"/>
    <x v="79"/>
    <d v="2025-03-26T00:00:00"/>
    <s v="M"/>
    <x v="0"/>
    <x v="0"/>
    <x v="0"/>
    <x v="6"/>
    <n v="5"/>
    <x v="11"/>
    <x v="1"/>
  </r>
  <r>
    <s v="TX502192"/>
    <x v="6"/>
    <x v="1"/>
    <n v="46.9"/>
    <n v="93.8"/>
    <x v="79"/>
    <d v="2025-03-28T00:00:00"/>
    <s v="M"/>
    <x v="0"/>
    <x v="0"/>
    <x v="0"/>
    <x v="8"/>
    <n v="7"/>
    <x v="11"/>
    <x v="1"/>
  </r>
  <r>
    <s v="TX502193"/>
    <x v="10"/>
    <x v="0"/>
    <n v="55.3"/>
    <n v="55.3"/>
    <x v="79"/>
    <d v="2025-03-23T00:00:00"/>
    <s v="M"/>
    <x v="0"/>
    <x v="0"/>
    <x v="0"/>
    <x v="8"/>
    <n v="2"/>
    <x v="11"/>
    <x v="1"/>
  </r>
  <r>
    <s v="TX502194"/>
    <x v="2"/>
    <x v="2"/>
    <n v="70.599999999999994"/>
    <n v="211.79999999999998"/>
    <x v="80"/>
    <d v="2025-03-22T00:00:00"/>
    <s v="F"/>
    <x v="0"/>
    <x v="1"/>
    <x v="0"/>
    <x v="8"/>
    <n v="0"/>
    <x v="11"/>
    <x v="2"/>
  </r>
  <r>
    <s v="TX502195"/>
    <x v="14"/>
    <x v="12"/>
    <n v="26.1"/>
    <n v="104.4"/>
    <x v="80"/>
    <d v="2025-03-24T00:00:00"/>
    <s v="M"/>
    <x v="0"/>
    <x v="0"/>
    <x v="0"/>
    <x v="8"/>
    <n v="2"/>
    <x v="11"/>
    <x v="1"/>
  </r>
  <r>
    <s v="TX502196"/>
    <x v="9"/>
    <x v="5"/>
    <n v="34.5"/>
    <n v="379.5"/>
    <x v="80"/>
    <d v="2025-03-26T00:00:00"/>
    <s v="M"/>
    <x v="2"/>
    <x v="0"/>
    <x v="0"/>
    <x v="17"/>
    <n v="4"/>
    <x v="11"/>
    <x v="1"/>
  </r>
  <r>
    <s v="TX502197"/>
    <x v="1"/>
    <x v="1"/>
    <n v="64.2"/>
    <n v="128.4"/>
    <x v="80"/>
    <d v="2025-03-23T00:00:00"/>
    <s v="F"/>
    <x v="0"/>
    <x v="1"/>
    <x v="0"/>
    <x v="17"/>
    <n v="1"/>
    <x v="11"/>
    <x v="2"/>
  </r>
  <r>
    <s v="TX502198"/>
    <x v="2"/>
    <x v="12"/>
    <n v="145.69999999999999"/>
    <n v="582.79999999999995"/>
    <x v="80"/>
    <d v="2025-03-23T00:00:00"/>
    <s v="F"/>
    <x v="0"/>
    <x v="4"/>
    <x v="0"/>
    <x v="17"/>
    <n v="1"/>
    <x v="11"/>
    <x v="2"/>
  </r>
  <r>
    <s v="TX502199"/>
    <x v="12"/>
    <x v="1"/>
    <n v="78.5"/>
    <n v="157"/>
    <x v="80"/>
    <d v="2025-03-23T00:00:00"/>
    <s v="M"/>
    <x v="2"/>
    <x v="0"/>
    <x v="0"/>
    <x v="26"/>
    <n v="1"/>
    <x v="11"/>
    <x v="1"/>
  </r>
  <r>
    <s v="TX502200"/>
    <x v="1"/>
    <x v="0"/>
    <n v="34.200000000000003"/>
    <n v="34.200000000000003"/>
    <x v="80"/>
    <d v="2025-03-24T00:00:00"/>
    <s v="M"/>
    <x v="0"/>
    <x v="0"/>
    <x v="0"/>
    <x v="9"/>
    <n v="2"/>
    <x v="11"/>
    <x v="1"/>
  </r>
  <r>
    <s v="TX502201"/>
    <x v="19"/>
    <x v="0"/>
    <n v="26.2"/>
    <n v="26.2"/>
    <x v="80"/>
    <d v="2025-03-23T00:00:00"/>
    <s v="M"/>
    <x v="2"/>
    <x v="0"/>
    <x v="0"/>
    <x v="9"/>
    <n v="1"/>
    <x v="11"/>
    <x v="1"/>
  </r>
  <r>
    <s v="TX502202"/>
    <x v="6"/>
    <x v="12"/>
    <n v="53.2"/>
    <n v="212.8"/>
    <x v="80"/>
    <d v="2025-03-23T00:00:00"/>
    <s v="M"/>
    <x v="1"/>
    <x v="1"/>
    <x v="0"/>
    <x v="11"/>
    <n v="1"/>
    <x v="11"/>
    <x v="1"/>
  </r>
  <r>
    <s v="TX502203"/>
    <x v="1"/>
    <x v="0"/>
    <n v="35.4"/>
    <n v="35.4"/>
    <x v="80"/>
    <d v="2025-03-26T00:00:00"/>
    <s v="M"/>
    <x v="1"/>
    <x v="4"/>
    <x v="0"/>
    <x v="18"/>
    <n v="4"/>
    <x v="11"/>
    <x v="1"/>
  </r>
  <r>
    <s v="TX502204"/>
    <x v="14"/>
    <x v="1"/>
    <n v="21.3"/>
    <n v="42.6"/>
    <x v="80"/>
    <d v="2025-03-23T00:00:00"/>
    <s v="M"/>
    <x v="2"/>
    <x v="0"/>
    <x v="0"/>
    <x v="20"/>
    <n v="1"/>
    <x v="11"/>
    <x v="1"/>
  </r>
  <r>
    <s v="TX502205"/>
    <x v="8"/>
    <x v="12"/>
    <n v="32.9"/>
    <n v="131.6"/>
    <x v="80"/>
    <d v="2025-03-25T00:00:00"/>
    <s v="F"/>
    <x v="4"/>
    <x v="2"/>
    <x v="0"/>
    <x v="21"/>
    <n v="3"/>
    <x v="11"/>
    <x v="2"/>
  </r>
  <r>
    <s v="TX502206"/>
    <x v="5"/>
    <x v="20"/>
    <n v="85.5"/>
    <n v="1282.5"/>
    <x v="80"/>
    <d v="2025-03-24T00:00:00"/>
    <s v="F"/>
    <x v="3"/>
    <x v="1"/>
    <x v="0"/>
    <x v="21"/>
    <n v="2"/>
    <x v="11"/>
    <x v="2"/>
  </r>
  <r>
    <s v="TX502207"/>
    <x v="4"/>
    <x v="0"/>
    <n v="26.8"/>
    <n v="26.8"/>
    <x v="80"/>
    <d v="2025-03-23T00:00:00"/>
    <s v="F"/>
    <x v="0"/>
    <x v="1"/>
    <x v="0"/>
    <x v="2"/>
    <n v="1"/>
    <x v="11"/>
    <x v="2"/>
  </r>
  <r>
    <s v="TX502208"/>
    <x v="9"/>
    <x v="18"/>
    <n v="31.7"/>
    <n v="824.19999999999993"/>
    <x v="80"/>
    <d v="2025-03-22T00:00:00"/>
    <s v="F"/>
    <x v="3"/>
    <x v="0"/>
    <x v="0"/>
    <x v="2"/>
    <n v="0"/>
    <x v="11"/>
    <x v="2"/>
  </r>
  <r>
    <s v="TX502209"/>
    <x v="1"/>
    <x v="1"/>
    <n v="78.3"/>
    <n v="156.6"/>
    <x v="80"/>
    <d v="2025-03-24T00:00:00"/>
    <s v="F"/>
    <x v="1"/>
    <x v="1"/>
    <x v="0"/>
    <x v="3"/>
    <n v="2"/>
    <x v="11"/>
    <x v="2"/>
  </r>
  <r>
    <s v="TX502210"/>
    <x v="6"/>
    <x v="0"/>
    <n v="43.9"/>
    <n v="43.9"/>
    <x v="80"/>
    <d v="2025-03-23T00:00:00"/>
    <s v="M"/>
    <x v="0"/>
    <x v="0"/>
    <x v="0"/>
    <x v="3"/>
    <n v="1"/>
    <x v="11"/>
    <x v="1"/>
  </r>
  <r>
    <s v="TX502211"/>
    <x v="18"/>
    <x v="2"/>
    <n v="84"/>
    <n v="252"/>
    <x v="80"/>
    <d v="2025-03-24T00:00:00"/>
    <s v=""/>
    <x v="3"/>
    <x v="2"/>
    <x v="0"/>
    <x v="3"/>
    <n v="2"/>
    <x v="11"/>
    <x v="0"/>
  </r>
  <r>
    <s v="TX502212"/>
    <x v="0"/>
    <x v="2"/>
    <n v="11.4"/>
    <n v="34.200000000000003"/>
    <x v="80"/>
    <d v="2025-03-23T00:00:00"/>
    <s v="M"/>
    <x v="4"/>
    <x v="0"/>
    <x v="0"/>
    <x v="3"/>
    <n v="1"/>
    <x v="11"/>
    <x v="1"/>
  </r>
  <r>
    <s v="TX502213"/>
    <x v="12"/>
    <x v="8"/>
    <n v="47.5"/>
    <n v="380"/>
    <x v="80"/>
    <d v="2025-03-30T00:00:00"/>
    <s v="F"/>
    <x v="0"/>
    <x v="0"/>
    <x v="0"/>
    <x v="3"/>
    <n v="8"/>
    <x v="11"/>
    <x v="2"/>
  </r>
  <r>
    <s v="TX502214"/>
    <x v="9"/>
    <x v="5"/>
    <n v="50.5"/>
    <n v="555.5"/>
    <x v="80"/>
    <d v="2025-03-24T00:00:00"/>
    <s v="M"/>
    <x v="2"/>
    <x v="0"/>
    <x v="0"/>
    <x v="3"/>
    <n v="2"/>
    <x v="11"/>
    <x v="1"/>
  </r>
  <r>
    <s v="TX502215"/>
    <x v="15"/>
    <x v="0"/>
    <n v="36.299999999999997"/>
    <n v="36.299999999999997"/>
    <x v="80"/>
    <d v="2025-03-25T00:00:00"/>
    <s v="O"/>
    <x v="0"/>
    <x v="1"/>
    <x v="0"/>
    <x v="8"/>
    <n v="3"/>
    <x v="11"/>
    <x v="3"/>
  </r>
  <r>
    <s v="TX502216"/>
    <x v="8"/>
    <x v="1"/>
    <n v="35.4"/>
    <n v="70.8"/>
    <x v="80"/>
    <d v="2025-03-23T00:00:00"/>
    <s v="F"/>
    <x v="0"/>
    <x v="0"/>
    <x v="0"/>
    <x v="17"/>
    <n v="1"/>
    <x v="11"/>
    <x v="2"/>
  </r>
  <r>
    <s v="TX502217"/>
    <x v="1"/>
    <x v="2"/>
    <n v="45.9"/>
    <n v="137.69999999999999"/>
    <x v="81"/>
    <d v="2025-03-24T00:00:00"/>
    <s v="M"/>
    <x v="3"/>
    <x v="0"/>
    <x v="0"/>
    <x v="9"/>
    <n v="1"/>
    <x v="12"/>
    <x v="1"/>
  </r>
  <r>
    <s v="TX502218"/>
    <x v="6"/>
    <x v="7"/>
    <n v="41.2"/>
    <n v="412"/>
    <x v="81"/>
    <d v="2025-03-27T00:00:00"/>
    <s v="M"/>
    <x v="0"/>
    <x v="0"/>
    <x v="0"/>
    <x v="11"/>
    <n v="4"/>
    <x v="12"/>
    <x v="1"/>
  </r>
  <r>
    <s v="TX502219"/>
    <x v="17"/>
    <x v="1"/>
    <n v="45.1"/>
    <n v="90.2"/>
    <x v="81"/>
    <d v="2025-03-24T00:00:00"/>
    <s v="M"/>
    <x v="1"/>
    <x v="1"/>
    <x v="0"/>
    <x v="21"/>
    <n v="1"/>
    <x v="12"/>
    <x v="1"/>
  </r>
  <r>
    <s v="TX502220"/>
    <x v="6"/>
    <x v="7"/>
    <n v="63.6"/>
    <n v="636"/>
    <x v="81"/>
    <d v="2025-03-23T00:00:00"/>
    <s v="M"/>
    <x v="2"/>
    <x v="0"/>
    <x v="0"/>
    <x v="1"/>
    <n v="0"/>
    <x v="12"/>
    <x v="1"/>
  </r>
  <r>
    <s v="TX502221"/>
    <x v="8"/>
    <x v="0"/>
    <n v="70.5"/>
    <n v="70.5"/>
    <x v="81"/>
    <d v="2025-03-24T00:00:00"/>
    <s v="M"/>
    <x v="0"/>
    <x v="0"/>
    <x v="0"/>
    <x v="3"/>
    <n v="1"/>
    <x v="12"/>
    <x v="1"/>
  </r>
  <r>
    <s v="TX502222"/>
    <x v="6"/>
    <x v="0"/>
    <n v="41.3"/>
    <n v="41.3"/>
    <x v="81"/>
    <d v="2025-03-23T00:00:00"/>
    <s v="M"/>
    <x v="4"/>
    <x v="0"/>
    <x v="0"/>
    <x v="3"/>
    <n v="0"/>
    <x v="12"/>
    <x v="1"/>
  </r>
  <r>
    <s v="TX502223"/>
    <x v="4"/>
    <x v="0"/>
    <n v="35.299999999999997"/>
    <n v="35.299999999999997"/>
    <x v="81"/>
    <d v="2025-03-26T00:00:00"/>
    <s v="F"/>
    <x v="4"/>
    <x v="2"/>
    <x v="0"/>
    <x v="3"/>
    <n v="3"/>
    <x v="12"/>
    <x v="2"/>
  </r>
  <r>
    <s v="TX502224"/>
    <x v="8"/>
    <x v="9"/>
    <n v="34.700000000000003"/>
    <n v="173.5"/>
    <x v="81"/>
    <d v="2025-03-24T00:00:00"/>
    <s v="F"/>
    <x v="0"/>
    <x v="2"/>
    <x v="0"/>
    <x v="3"/>
    <n v="1"/>
    <x v="12"/>
    <x v="2"/>
  </r>
  <r>
    <s v="TX502225"/>
    <x v="8"/>
    <x v="2"/>
    <n v="26.1"/>
    <n v="78.300000000000011"/>
    <x v="81"/>
    <d v="2025-03-24T00:00:00"/>
    <s v="F"/>
    <x v="0"/>
    <x v="0"/>
    <x v="0"/>
    <x v="3"/>
    <n v="1"/>
    <x v="12"/>
    <x v="2"/>
  </r>
  <r>
    <s v="TX502226"/>
    <x v="9"/>
    <x v="9"/>
    <n v="22.6"/>
    <n v="113"/>
    <x v="81"/>
    <d v="2025-03-23T00:00:00"/>
    <s v="F"/>
    <x v="1"/>
    <x v="2"/>
    <x v="0"/>
    <x v="3"/>
    <n v="0"/>
    <x v="12"/>
    <x v="2"/>
  </r>
  <r>
    <s v="TX502227"/>
    <x v="2"/>
    <x v="1"/>
    <n v="154.4"/>
    <n v="308.8"/>
    <x v="81"/>
    <d v="2025-03-26T00:00:00"/>
    <s v="M"/>
    <x v="1"/>
    <x v="1"/>
    <x v="0"/>
    <x v="3"/>
    <n v="3"/>
    <x v="12"/>
    <x v="1"/>
  </r>
  <r>
    <s v="TX502228"/>
    <x v="8"/>
    <x v="1"/>
    <n v="18.399999999999999"/>
    <n v="36.799999999999997"/>
    <x v="81"/>
    <d v="2025-03-24T00:00:00"/>
    <s v="M"/>
    <x v="0"/>
    <x v="0"/>
    <x v="0"/>
    <x v="3"/>
    <n v="1"/>
    <x v="12"/>
    <x v="1"/>
  </r>
  <r>
    <s v="TX502229"/>
    <x v="14"/>
    <x v="0"/>
    <n v="25"/>
    <n v="25"/>
    <x v="81"/>
    <d v="2025-03-26T00:00:00"/>
    <s v="F"/>
    <x v="0"/>
    <x v="0"/>
    <x v="0"/>
    <x v="3"/>
    <n v="3"/>
    <x v="12"/>
    <x v="2"/>
  </r>
  <r>
    <s v="TX502230"/>
    <x v="2"/>
    <x v="13"/>
    <n v="105.6"/>
    <n v="633.59999999999991"/>
    <x v="81"/>
    <d v="2025-03-23T00:00:00"/>
    <s v="F"/>
    <x v="0"/>
    <x v="0"/>
    <x v="0"/>
    <x v="3"/>
    <n v="0"/>
    <x v="12"/>
    <x v="2"/>
  </r>
  <r>
    <s v="TX502231"/>
    <x v="18"/>
    <x v="8"/>
    <n v="59.6"/>
    <n v="476.8"/>
    <x v="81"/>
    <d v="2025-03-23T00:00:00"/>
    <s v="F"/>
    <x v="0"/>
    <x v="2"/>
    <x v="0"/>
    <x v="23"/>
    <n v="0"/>
    <x v="12"/>
    <x v="2"/>
  </r>
  <r>
    <s v="TX502232"/>
    <x v="15"/>
    <x v="2"/>
    <n v="75.400000000000006"/>
    <n v="226.20000000000002"/>
    <x v="81"/>
    <d v="2025-03-28T00:00:00"/>
    <s v="M"/>
    <x v="0"/>
    <x v="1"/>
    <x v="0"/>
    <x v="7"/>
    <n v="5"/>
    <x v="12"/>
    <x v="1"/>
  </r>
  <r>
    <s v="TX502233"/>
    <x v="7"/>
    <x v="0"/>
    <n v="104.4"/>
    <n v="104.4"/>
    <x v="81"/>
    <d v="2025-03-24T00:00:00"/>
    <s v="F"/>
    <x v="0"/>
    <x v="0"/>
    <x v="0"/>
    <x v="8"/>
    <n v="1"/>
    <x v="12"/>
    <x v="2"/>
  </r>
  <r>
    <s v="TX502234"/>
    <x v="2"/>
    <x v="7"/>
    <n v="208.2"/>
    <n v="2082"/>
    <x v="81"/>
    <d v="2025-03-24T00:00:00"/>
    <s v="M"/>
    <x v="0"/>
    <x v="2"/>
    <x v="0"/>
    <x v="8"/>
    <n v="1"/>
    <x v="12"/>
    <x v="1"/>
  </r>
  <r>
    <s v="TX502235"/>
    <x v="6"/>
    <x v="1"/>
    <n v="45"/>
    <n v="90"/>
    <x v="81"/>
    <d v="2025-03-26T00:00:00"/>
    <s v="F"/>
    <x v="0"/>
    <x v="0"/>
    <x v="0"/>
    <x v="10"/>
    <n v="3"/>
    <x v="12"/>
    <x v="2"/>
  </r>
  <r>
    <s v="TX502236"/>
    <x v="15"/>
    <x v="1"/>
    <n v="20.3"/>
    <n v="40.6"/>
    <x v="82"/>
    <d v="2025-03-26T00:00:00"/>
    <s v=""/>
    <x v="1"/>
    <x v="0"/>
    <x v="0"/>
    <x v="11"/>
    <n v="2"/>
    <x v="12"/>
    <x v="0"/>
  </r>
  <r>
    <s v="TX502237"/>
    <x v="2"/>
    <x v="2"/>
    <n v="94.4"/>
    <n v="283.20000000000005"/>
    <x v="82"/>
    <d v="2025-03-25T00:00:00"/>
    <s v="F"/>
    <x v="0"/>
    <x v="2"/>
    <x v="0"/>
    <x v="11"/>
    <n v="1"/>
    <x v="12"/>
    <x v="2"/>
  </r>
  <r>
    <s v="TX502238"/>
    <x v="9"/>
    <x v="0"/>
    <n v="49"/>
    <n v="49"/>
    <x v="82"/>
    <d v="2025-03-26T00:00:00"/>
    <s v="F"/>
    <x v="0"/>
    <x v="2"/>
    <x v="0"/>
    <x v="20"/>
    <n v="2"/>
    <x v="12"/>
    <x v="2"/>
  </r>
  <r>
    <s v="TX502239"/>
    <x v="4"/>
    <x v="1"/>
    <n v="27.2"/>
    <n v="54.4"/>
    <x v="82"/>
    <d v="2025-03-26T00:00:00"/>
    <s v="M"/>
    <x v="0"/>
    <x v="2"/>
    <x v="0"/>
    <x v="1"/>
    <n v="2"/>
    <x v="12"/>
    <x v="1"/>
  </r>
  <r>
    <s v="TX502240"/>
    <x v="2"/>
    <x v="13"/>
    <n v="72.599999999999994"/>
    <n v="435.59999999999997"/>
    <x v="82"/>
    <d v="2025-03-25T00:00:00"/>
    <s v="F"/>
    <x v="0"/>
    <x v="2"/>
    <x v="0"/>
    <x v="2"/>
    <n v="1"/>
    <x v="12"/>
    <x v="2"/>
  </r>
  <r>
    <s v="TX502241"/>
    <x v="15"/>
    <x v="12"/>
    <n v="62.4"/>
    <n v="249.6"/>
    <x v="82"/>
    <d v="2025-03-25T00:00:00"/>
    <s v="F"/>
    <x v="0"/>
    <x v="0"/>
    <x v="0"/>
    <x v="3"/>
    <n v="1"/>
    <x v="12"/>
    <x v="2"/>
  </r>
  <r>
    <s v="TX502242"/>
    <x v="8"/>
    <x v="2"/>
    <n v="19.100000000000001"/>
    <n v="57.300000000000004"/>
    <x v="82"/>
    <d v="2025-03-26T00:00:00"/>
    <s v="M"/>
    <x v="0"/>
    <x v="1"/>
    <x v="0"/>
    <x v="3"/>
    <n v="2"/>
    <x v="12"/>
    <x v="1"/>
  </r>
  <r>
    <s v="TX502243"/>
    <x v="10"/>
    <x v="0"/>
    <n v="29.6"/>
    <n v="29.6"/>
    <x v="82"/>
    <d v="2025-03-28T00:00:00"/>
    <s v="M"/>
    <x v="0"/>
    <x v="4"/>
    <x v="0"/>
    <x v="3"/>
    <n v="4"/>
    <x v="12"/>
    <x v="1"/>
  </r>
  <r>
    <s v="TX502244"/>
    <x v="8"/>
    <x v="1"/>
    <n v="18.899999999999999"/>
    <n v="37.799999999999997"/>
    <x v="82"/>
    <d v="2025-03-26T00:00:00"/>
    <s v="F"/>
    <x v="4"/>
    <x v="2"/>
    <x v="0"/>
    <x v="3"/>
    <n v="2"/>
    <x v="12"/>
    <x v="2"/>
  </r>
  <r>
    <s v="TX502245"/>
    <x v="10"/>
    <x v="9"/>
    <n v="41.4"/>
    <n v="207"/>
    <x v="82"/>
    <d v="2025-03-25T00:00:00"/>
    <s v="M"/>
    <x v="3"/>
    <x v="0"/>
    <x v="0"/>
    <x v="3"/>
    <n v="1"/>
    <x v="12"/>
    <x v="1"/>
  </r>
  <r>
    <s v="TX502246"/>
    <x v="2"/>
    <x v="0"/>
    <n v="118.4"/>
    <n v="118.4"/>
    <x v="82"/>
    <d v="2025-03-25T00:00:00"/>
    <s v="F"/>
    <x v="0"/>
    <x v="2"/>
    <x v="0"/>
    <x v="3"/>
    <n v="1"/>
    <x v="12"/>
    <x v="2"/>
  </r>
  <r>
    <s v="TX502247"/>
    <x v="2"/>
    <x v="1"/>
    <n v="125.3"/>
    <n v="250.6"/>
    <x v="82"/>
    <d v="2025-03-27T00:00:00"/>
    <s v="F"/>
    <x v="0"/>
    <x v="2"/>
    <x v="0"/>
    <x v="3"/>
    <n v="3"/>
    <x v="12"/>
    <x v="2"/>
  </r>
  <r>
    <s v="TX502248"/>
    <x v="3"/>
    <x v="1"/>
    <n v="85.8"/>
    <n v="171.6"/>
    <x v="82"/>
    <d v="2025-03-25T00:00:00"/>
    <s v="F"/>
    <x v="1"/>
    <x v="4"/>
    <x v="0"/>
    <x v="3"/>
    <n v="1"/>
    <x v="12"/>
    <x v="2"/>
  </r>
  <r>
    <s v="TX502249"/>
    <x v="6"/>
    <x v="0"/>
    <n v="44.2"/>
    <n v="44.2"/>
    <x v="82"/>
    <d v="2025-03-27T00:00:00"/>
    <s v="M"/>
    <x v="1"/>
    <x v="0"/>
    <x v="0"/>
    <x v="3"/>
    <n v="3"/>
    <x v="12"/>
    <x v="1"/>
  </r>
  <r>
    <s v="TX502250"/>
    <x v="5"/>
    <x v="12"/>
    <n v="74.099999999999994"/>
    <n v="296.39999999999998"/>
    <x v="82"/>
    <d v="2025-03-26T00:00:00"/>
    <s v="F"/>
    <x v="0"/>
    <x v="0"/>
    <x v="0"/>
    <x v="3"/>
    <n v="2"/>
    <x v="12"/>
    <x v="2"/>
  </r>
  <r>
    <s v="TX502251"/>
    <x v="8"/>
    <x v="0"/>
    <n v="33.799999999999997"/>
    <n v="33.799999999999997"/>
    <x v="82"/>
    <d v="2025-03-25T00:00:00"/>
    <s v="F"/>
    <x v="2"/>
    <x v="2"/>
    <x v="0"/>
    <x v="24"/>
    <n v="1"/>
    <x v="12"/>
    <x v="2"/>
  </r>
  <r>
    <s v="TX502252"/>
    <x v="1"/>
    <x v="1"/>
    <n v="39.1"/>
    <n v="78.2"/>
    <x v="82"/>
    <d v="2025-03-25T00:00:00"/>
    <s v="M"/>
    <x v="0"/>
    <x v="1"/>
    <x v="0"/>
    <x v="24"/>
    <n v="1"/>
    <x v="12"/>
    <x v="1"/>
  </r>
  <r>
    <s v="TX502253"/>
    <x v="0"/>
    <x v="0"/>
    <n v="37.200000000000003"/>
    <n v="37.200000000000003"/>
    <x v="82"/>
    <d v="2025-03-25T00:00:00"/>
    <s v="M"/>
    <x v="0"/>
    <x v="1"/>
    <x v="0"/>
    <x v="16"/>
    <n v="1"/>
    <x v="12"/>
    <x v="1"/>
  </r>
  <r>
    <s v="TX502254"/>
    <x v="15"/>
    <x v="2"/>
    <n v="33.9"/>
    <n v="101.69999999999999"/>
    <x v="82"/>
    <d v="2025-03-26T00:00:00"/>
    <s v="M"/>
    <x v="2"/>
    <x v="0"/>
    <x v="0"/>
    <x v="6"/>
    <n v="2"/>
    <x v="12"/>
    <x v="1"/>
  </r>
  <r>
    <s v="TX502255"/>
    <x v="7"/>
    <x v="20"/>
    <n v="73.3"/>
    <n v="1099.5"/>
    <x v="82"/>
    <d v="2025-03-27T00:00:00"/>
    <s v="F"/>
    <x v="2"/>
    <x v="1"/>
    <x v="0"/>
    <x v="8"/>
    <n v="3"/>
    <x v="12"/>
    <x v="2"/>
  </r>
  <r>
    <s v="TX502256"/>
    <x v="8"/>
    <x v="12"/>
    <n v="35"/>
    <n v="140"/>
    <x v="82"/>
    <d v="2025-03-26T00:00:00"/>
    <s v="F"/>
    <x v="1"/>
    <x v="0"/>
    <x v="0"/>
    <x v="8"/>
    <n v="2"/>
    <x v="12"/>
    <x v="2"/>
  </r>
  <r>
    <s v="TX502257"/>
    <x v="0"/>
    <x v="2"/>
    <n v="22.2"/>
    <n v="66.599999999999994"/>
    <x v="82"/>
    <d v="2025-03-25T00:00:00"/>
    <s v="M"/>
    <x v="1"/>
    <x v="0"/>
    <x v="0"/>
    <x v="17"/>
    <n v="1"/>
    <x v="12"/>
    <x v="1"/>
  </r>
  <r>
    <s v="TX502258"/>
    <x v="10"/>
    <x v="0"/>
    <n v="32.4"/>
    <n v="32.4"/>
    <x v="82"/>
    <d v="2025-03-25T00:00:00"/>
    <s v="F"/>
    <x v="0"/>
    <x v="0"/>
    <x v="0"/>
    <x v="11"/>
    <n v="1"/>
    <x v="12"/>
    <x v="2"/>
  </r>
  <r>
    <s v="TX502259"/>
    <x v="5"/>
    <x v="2"/>
    <n v="88.4"/>
    <n v="265.20000000000005"/>
    <x v="83"/>
    <d v="2025-03-27T00:00:00"/>
    <s v="F"/>
    <x v="1"/>
    <x v="1"/>
    <x v="0"/>
    <x v="11"/>
    <n v="2"/>
    <x v="12"/>
    <x v="2"/>
  </r>
  <r>
    <s v="TX502260"/>
    <x v="5"/>
    <x v="27"/>
    <n v="30.5"/>
    <n v="488"/>
    <x v="83"/>
    <d v="2025-03-26T00:00:00"/>
    <s v="F"/>
    <x v="2"/>
    <x v="0"/>
    <x v="0"/>
    <x v="11"/>
    <n v="1"/>
    <x v="12"/>
    <x v="2"/>
  </r>
  <r>
    <s v="TX502261"/>
    <x v="1"/>
    <x v="13"/>
    <n v="38.1"/>
    <n v="228.60000000000002"/>
    <x v="83"/>
    <d v="2025-03-27T00:00:00"/>
    <s v="F"/>
    <x v="0"/>
    <x v="1"/>
    <x v="0"/>
    <x v="11"/>
    <n v="2"/>
    <x v="12"/>
    <x v="2"/>
  </r>
  <r>
    <s v="TX502262"/>
    <x v="10"/>
    <x v="9"/>
    <n v="37.6"/>
    <n v="188"/>
    <x v="83"/>
    <d v="2025-03-29T00:00:00"/>
    <s v="M"/>
    <x v="0"/>
    <x v="0"/>
    <x v="0"/>
    <x v="11"/>
    <n v="4"/>
    <x v="12"/>
    <x v="1"/>
  </r>
  <r>
    <s v="TX502263"/>
    <x v="15"/>
    <x v="1"/>
    <n v="31.4"/>
    <n v="62.8"/>
    <x v="83"/>
    <d v="2025-03-26T00:00:00"/>
    <s v="M"/>
    <x v="0"/>
    <x v="2"/>
    <x v="0"/>
    <x v="11"/>
    <n v="1"/>
    <x v="12"/>
    <x v="1"/>
  </r>
  <r>
    <s v="TX502264"/>
    <x v="6"/>
    <x v="1"/>
    <n v="61.5"/>
    <n v="123"/>
    <x v="83"/>
    <d v="2025-03-26T00:00:00"/>
    <s v="M"/>
    <x v="3"/>
    <x v="0"/>
    <x v="0"/>
    <x v="31"/>
    <n v="1"/>
    <x v="12"/>
    <x v="1"/>
  </r>
  <r>
    <s v="TX502265"/>
    <x v="6"/>
    <x v="0"/>
    <n v="72.599999999999994"/>
    <n v="72.599999999999994"/>
    <x v="83"/>
    <d v="2025-03-26T00:00:00"/>
    <s v="M"/>
    <x v="0"/>
    <x v="1"/>
    <x v="0"/>
    <x v="21"/>
    <n v="1"/>
    <x v="12"/>
    <x v="1"/>
  </r>
  <r>
    <s v="TX502266"/>
    <x v="9"/>
    <x v="2"/>
    <n v="26.9"/>
    <n v="80.699999999999989"/>
    <x v="83"/>
    <d v="2025-03-30T00:00:00"/>
    <s v="O"/>
    <x v="4"/>
    <x v="1"/>
    <x v="0"/>
    <x v="46"/>
    <n v="5"/>
    <x v="12"/>
    <x v="3"/>
  </r>
  <r>
    <s v="TX502267"/>
    <x v="17"/>
    <x v="4"/>
    <n v="29.4"/>
    <n v="352.79999999999995"/>
    <x v="83"/>
    <d v="2025-03-26T00:00:00"/>
    <s v="F"/>
    <x v="1"/>
    <x v="0"/>
    <x v="0"/>
    <x v="51"/>
    <n v="1"/>
    <x v="12"/>
    <x v="2"/>
  </r>
  <r>
    <s v="TX502268"/>
    <x v="17"/>
    <x v="1"/>
    <n v="42.1"/>
    <n v="84.2"/>
    <x v="83"/>
    <d v="2025-03-26T00:00:00"/>
    <s v="F"/>
    <x v="3"/>
    <x v="1"/>
    <x v="0"/>
    <x v="1"/>
    <n v="1"/>
    <x v="12"/>
    <x v="2"/>
  </r>
  <r>
    <s v="TX502269"/>
    <x v="5"/>
    <x v="0"/>
    <n v="40.5"/>
    <n v="40.5"/>
    <x v="83"/>
    <d v="2025-03-26T00:00:00"/>
    <s v="F"/>
    <x v="2"/>
    <x v="1"/>
    <x v="0"/>
    <x v="1"/>
    <n v="1"/>
    <x v="12"/>
    <x v="2"/>
  </r>
  <r>
    <s v="TX502270"/>
    <x v="2"/>
    <x v="12"/>
    <n v="182.3"/>
    <n v="729.2"/>
    <x v="83"/>
    <d v="2025-03-26T00:00:00"/>
    <s v="F"/>
    <x v="1"/>
    <x v="0"/>
    <x v="0"/>
    <x v="1"/>
    <n v="1"/>
    <x v="12"/>
    <x v="2"/>
  </r>
  <r>
    <s v="TX502271"/>
    <x v="2"/>
    <x v="9"/>
    <n v="157"/>
    <n v="785"/>
    <x v="83"/>
    <d v="2025-03-28T00:00:00"/>
    <s v="F"/>
    <x v="1"/>
    <x v="2"/>
    <x v="0"/>
    <x v="2"/>
    <n v="3"/>
    <x v="12"/>
    <x v="2"/>
  </r>
  <r>
    <s v="TX502272"/>
    <x v="17"/>
    <x v="9"/>
    <n v="45.2"/>
    <n v="226"/>
    <x v="83"/>
    <d v="2025-03-28T00:00:00"/>
    <s v="F"/>
    <x v="1"/>
    <x v="0"/>
    <x v="0"/>
    <x v="22"/>
    <n v="3"/>
    <x v="12"/>
    <x v="2"/>
  </r>
  <r>
    <s v="TX502273"/>
    <x v="15"/>
    <x v="12"/>
    <n v="27.4"/>
    <n v="109.6"/>
    <x v="83"/>
    <d v="2025-03-27T00:00:00"/>
    <s v="F"/>
    <x v="0"/>
    <x v="0"/>
    <x v="0"/>
    <x v="3"/>
    <n v="2"/>
    <x v="12"/>
    <x v="2"/>
  </r>
  <r>
    <s v="TX502274"/>
    <x v="5"/>
    <x v="9"/>
    <n v="34.1"/>
    <n v="170.5"/>
    <x v="83"/>
    <d v="2025-03-27T00:00:00"/>
    <s v="M"/>
    <x v="0"/>
    <x v="2"/>
    <x v="0"/>
    <x v="3"/>
    <n v="2"/>
    <x v="12"/>
    <x v="1"/>
  </r>
  <r>
    <s v="TX502275"/>
    <x v="0"/>
    <x v="1"/>
    <n v="26"/>
    <n v="52"/>
    <x v="83"/>
    <d v="2025-03-27T00:00:00"/>
    <s v="M"/>
    <x v="2"/>
    <x v="1"/>
    <x v="0"/>
    <x v="3"/>
    <n v="2"/>
    <x v="12"/>
    <x v="1"/>
  </r>
  <r>
    <s v="TX502276"/>
    <x v="8"/>
    <x v="3"/>
    <n v="19.399999999999999"/>
    <n v="135.79999999999998"/>
    <x v="83"/>
    <d v="2025-03-27T00:00:00"/>
    <s v=""/>
    <x v="1"/>
    <x v="1"/>
    <x v="0"/>
    <x v="3"/>
    <n v="2"/>
    <x v="12"/>
    <x v="0"/>
  </r>
  <r>
    <s v="TX502277"/>
    <x v="16"/>
    <x v="2"/>
    <n v="30.3"/>
    <n v="90.9"/>
    <x v="83"/>
    <d v="2025-03-28T00:00:00"/>
    <s v="F"/>
    <x v="1"/>
    <x v="2"/>
    <x v="0"/>
    <x v="3"/>
    <n v="3"/>
    <x v="12"/>
    <x v="2"/>
  </r>
  <r>
    <s v="TX502278"/>
    <x v="2"/>
    <x v="2"/>
    <n v="101.4"/>
    <n v="304.20000000000005"/>
    <x v="83"/>
    <d v="2025-03-26T00:00:00"/>
    <s v="M"/>
    <x v="0"/>
    <x v="0"/>
    <x v="0"/>
    <x v="3"/>
    <n v="1"/>
    <x v="12"/>
    <x v="1"/>
  </r>
  <r>
    <s v="TX502279"/>
    <x v="3"/>
    <x v="9"/>
    <n v="55.5"/>
    <n v="277.5"/>
    <x v="83"/>
    <d v="2025-03-28T00:00:00"/>
    <s v="M"/>
    <x v="1"/>
    <x v="0"/>
    <x v="0"/>
    <x v="24"/>
    <n v="3"/>
    <x v="12"/>
    <x v="1"/>
  </r>
  <r>
    <s v="TX502280"/>
    <x v="8"/>
    <x v="0"/>
    <n v="23.1"/>
    <n v="23.1"/>
    <x v="83"/>
    <d v="2025-03-26T00:00:00"/>
    <s v="M"/>
    <x v="0"/>
    <x v="0"/>
    <x v="0"/>
    <x v="25"/>
    <n v="1"/>
    <x v="12"/>
    <x v="1"/>
  </r>
  <r>
    <s v="TX502281"/>
    <x v="18"/>
    <x v="1"/>
    <n v="38.9"/>
    <n v="77.8"/>
    <x v="83"/>
    <d v="2025-03-26T00:00:00"/>
    <s v="M"/>
    <x v="2"/>
    <x v="0"/>
    <x v="0"/>
    <x v="25"/>
    <n v="1"/>
    <x v="12"/>
    <x v="1"/>
  </r>
  <r>
    <s v="TX502282"/>
    <x v="6"/>
    <x v="11"/>
    <n v="116.3"/>
    <n v="1046.7"/>
    <x v="83"/>
    <d v="2025-03-29T00:00:00"/>
    <s v="F"/>
    <x v="0"/>
    <x v="0"/>
    <x v="0"/>
    <x v="5"/>
    <n v="4"/>
    <x v="12"/>
    <x v="2"/>
  </r>
  <r>
    <s v="TX502283"/>
    <x v="16"/>
    <x v="11"/>
    <n v="64.099999999999994"/>
    <n v="576.9"/>
    <x v="83"/>
    <d v="2025-03-25T00:00:00"/>
    <s v="F"/>
    <x v="0"/>
    <x v="2"/>
    <x v="0"/>
    <x v="6"/>
    <n v="0"/>
    <x v="12"/>
    <x v="2"/>
  </r>
  <r>
    <s v="TX502284"/>
    <x v="2"/>
    <x v="13"/>
    <n v="109.2"/>
    <n v="655.20000000000005"/>
    <x v="83"/>
    <d v="2025-03-27T00:00:00"/>
    <s v="M"/>
    <x v="0"/>
    <x v="1"/>
    <x v="0"/>
    <x v="8"/>
    <n v="2"/>
    <x v="12"/>
    <x v="1"/>
  </r>
  <r>
    <s v="TX502285"/>
    <x v="10"/>
    <x v="9"/>
    <n v="23.2"/>
    <n v="116"/>
    <x v="84"/>
    <d v="2025-03-27T00:00:00"/>
    <s v="M"/>
    <x v="0"/>
    <x v="1"/>
    <x v="0"/>
    <x v="8"/>
    <n v="1"/>
    <x v="12"/>
    <x v="1"/>
  </r>
  <r>
    <s v="TX502286"/>
    <x v="18"/>
    <x v="13"/>
    <n v="81.2"/>
    <n v="487.20000000000005"/>
    <x v="84"/>
    <d v="2025-03-28T00:00:00"/>
    <s v="M"/>
    <x v="2"/>
    <x v="2"/>
    <x v="0"/>
    <x v="8"/>
    <n v="2"/>
    <x v="12"/>
    <x v="1"/>
  </r>
  <r>
    <s v="TX502287"/>
    <x v="1"/>
    <x v="21"/>
    <n v="35.700000000000003"/>
    <n v="499.80000000000007"/>
    <x v="84"/>
    <d v="2025-03-27T00:00:00"/>
    <s v="M"/>
    <x v="3"/>
    <x v="0"/>
    <x v="0"/>
    <x v="8"/>
    <n v="1"/>
    <x v="12"/>
    <x v="1"/>
  </r>
  <r>
    <s v="TX502288"/>
    <x v="7"/>
    <x v="1"/>
    <n v="44.5"/>
    <n v="89"/>
    <x v="84"/>
    <d v="2025-03-29T00:00:00"/>
    <s v="M"/>
    <x v="4"/>
    <x v="0"/>
    <x v="0"/>
    <x v="9"/>
    <n v="3"/>
    <x v="12"/>
    <x v="1"/>
  </r>
  <r>
    <s v="TX502289"/>
    <x v="1"/>
    <x v="9"/>
    <n v="32"/>
    <n v="160"/>
    <x v="84"/>
    <d v="2025-03-28T00:00:00"/>
    <s v="O"/>
    <x v="1"/>
    <x v="1"/>
    <x v="0"/>
    <x v="9"/>
    <n v="2"/>
    <x v="12"/>
    <x v="3"/>
  </r>
  <r>
    <s v="TX502290"/>
    <x v="8"/>
    <x v="0"/>
    <n v="25.7"/>
    <n v="25.7"/>
    <x v="84"/>
    <d v="2025-03-27T00:00:00"/>
    <s v="M"/>
    <x v="0"/>
    <x v="0"/>
    <x v="0"/>
    <x v="10"/>
    <n v="1"/>
    <x v="12"/>
    <x v="1"/>
  </r>
  <r>
    <s v="TX502291"/>
    <x v="16"/>
    <x v="2"/>
    <n v="65.599999999999994"/>
    <n v="196.79999999999998"/>
    <x v="84"/>
    <d v="2025-04-01T00:00:00"/>
    <s v="M"/>
    <x v="0"/>
    <x v="0"/>
    <x v="0"/>
    <x v="11"/>
    <n v="6"/>
    <x v="12"/>
    <x v="1"/>
  </r>
  <r>
    <s v="TX502292"/>
    <x v="1"/>
    <x v="12"/>
    <n v="52.1"/>
    <n v="208.4"/>
    <x v="84"/>
    <d v="2025-03-27T00:00:00"/>
    <s v="F"/>
    <x v="0"/>
    <x v="2"/>
    <x v="0"/>
    <x v="11"/>
    <n v="1"/>
    <x v="12"/>
    <x v="2"/>
  </r>
  <r>
    <s v="TX502293"/>
    <x v="8"/>
    <x v="0"/>
    <n v="31"/>
    <n v="31"/>
    <x v="84"/>
    <d v="2025-03-27T00:00:00"/>
    <s v="M"/>
    <x v="0"/>
    <x v="1"/>
    <x v="0"/>
    <x v="19"/>
    <n v="1"/>
    <x v="12"/>
    <x v="1"/>
  </r>
  <r>
    <s v="TX502294"/>
    <x v="8"/>
    <x v="0"/>
    <n v="32"/>
    <n v="32"/>
    <x v="84"/>
    <d v="2025-03-28T00:00:00"/>
    <s v="O"/>
    <x v="3"/>
    <x v="1"/>
    <x v="0"/>
    <x v="31"/>
    <n v="2"/>
    <x v="12"/>
    <x v="3"/>
  </r>
  <r>
    <s v="TX502295"/>
    <x v="16"/>
    <x v="12"/>
    <n v="58.3"/>
    <n v="233.2"/>
    <x v="84"/>
    <d v="2025-03-30T00:00:00"/>
    <s v="M"/>
    <x v="1"/>
    <x v="4"/>
    <x v="0"/>
    <x v="20"/>
    <n v="4"/>
    <x v="12"/>
    <x v="1"/>
  </r>
  <r>
    <s v="TX502296"/>
    <x v="8"/>
    <x v="2"/>
    <n v="31"/>
    <n v="93"/>
    <x v="84"/>
    <d v="2025-03-28T00:00:00"/>
    <s v="F"/>
    <x v="2"/>
    <x v="4"/>
    <x v="0"/>
    <x v="13"/>
    <n v="2"/>
    <x v="12"/>
    <x v="2"/>
  </r>
  <r>
    <s v="TX502297"/>
    <x v="3"/>
    <x v="0"/>
    <n v="40.299999999999997"/>
    <n v="40.299999999999997"/>
    <x v="84"/>
    <d v="2025-03-27T00:00:00"/>
    <s v="M"/>
    <x v="1"/>
    <x v="2"/>
    <x v="0"/>
    <x v="54"/>
    <n v="1"/>
    <x v="12"/>
    <x v="1"/>
  </r>
  <r>
    <s v="TX502298"/>
    <x v="6"/>
    <x v="2"/>
    <n v="47.3"/>
    <n v="141.89999999999998"/>
    <x v="84"/>
    <d v="2025-03-28T00:00:00"/>
    <s v="M"/>
    <x v="4"/>
    <x v="2"/>
    <x v="0"/>
    <x v="2"/>
    <n v="2"/>
    <x v="12"/>
    <x v="1"/>
  </r>
  <r>
    <s v="TX502299"/>
    <x v="2"/>
    <x v="0"/>
    <n v="82.8"/>
    <n v="82.8"/>
    <x v="84"/>
    <d v="2025-03-27T00:00:00"/>
    <s v="M"/>
    <x v="0"/>
    <x v="0"/>
    <x v="0"/>
    <x v="2"/>
    <n v="1"/>
    <x v="12"/>
    <x v="1"/>
  </r>
  <r>
    <s v="TX502300"/>
    <x v="8"/>
    <x v="0"/>
    <n v="18.5"/>
    <n v="18.5"/>
    <x v="84"/>
    <d v="2025-04-09T00:00:00"/>
    <s v="F"/>
    <x v="0"/>
    <x v="0"/>
    <x v="0"/>
    <x v="44"/>
    <n v="14"/>
    <x v="12"/>
    <x v="2"/>
  </r>
  <r>
    <s v="TX502301"/>
    <x v="3"/>
    <x v="1"/>
    <n v="60.4"/>
    <n v="120.8"/>
    <x v="84"/>
    <d v="2025-03-27T00:00:00"/>
    <s v="M"/>
    <x v="2"/>
    <x v="0"/>
    <x v="0"/>
    <x v="22"/>
    <n v="1"/>
    <x v="12"/>
    <x v="1"/>
  </r>
  <r>
    <s v="TX502302"/>
    <x v="6"/>
    <x v="9"/>
    <n v="80.2"/>
    <n v="401"/>
    <x v="84"/>
    <d v="2025-04-02T00:00:00"/>
    <s v="M"/>
    <x v="1"/>
    <x v="1"/>
    <x v="0"/>
    <x v="50"/>
    <n v="7"/>
    <x v="12"/>
    <x v="1"/>
  </r>
  <r>
    <s v="TX502303"/>
    <x v="4"/>
    <x v="0"/>
    <n v="41.5"/>
    <n v="41.5"/>
    <x v="84"/>
    <d v="2025-03-28T00:00:00"/>
    <s v="M"/>
    <x v="2"/>
    <x v="0"/>
    <x v="0"/>
    <x v="3"/>
    <n v="2"/>
    <x v="12"/>
    <x v="1"/>
  </r>
  <r>
    <s v="TX502304"/>
    <x v="2"/>
    <x v="1"/>
    <n v="83.9"/>
    <n v="167.8"/>
    <x v="84"/>
    <d v="2025-03-29T00:00:00"/>
    <s v="F"/>
    <x v="0"/>
    <x v="0"/>
    <x v="0"/>
    <x v="3"/>
    <n v="3"/>
    <x v="12"/>
    <x v="2"/>
  </r>
  <r>
    <s v="TX502305"/>
    <x v="8"/>
    <x v="1"/>
    <n v="16.7"/>
    <n v="33.4"/>
    <x v="84"/>
    <d v="2025-03-30T00:00:00"/>
    <s v="F"/>
    <x v="0"/>
    <x v="1"/>
    <x v="0"/>
    <x v="3"/>
    <n v="4"/>
    <x v="12"/>
    <x v="2"/>
  </r>
  <r>
    <s v="TX502306"/>
    <x v="9"/>
    <x v="1"/>
    <n v="72.900000000000006"/>
    <n v="145.80000000000001"/>
    <x v="84"/>
    <d v="2025-03-27T00:00:00"/>
    <s v="M"/>
    <x v="2"/>
    <x v="1"/>
    <x v="0"/>
    <x v="3"/>
    <n v="1"/>
    <x v="12"/>
    <x v="1"/>
  </r>
  <r>
    <s v="TX502307"/>
    <x v="5"/>
    <x v="1"/>
    <n v="50.2"/>
    <n v="100.4"/>
    <x v="84"/>
    <d v="2025-03-28T00:00:00"/>
    <s v="F"/>
    <x v="1"/>
    <x v="2"/>
    <x v="0"/>
    <x v="3"/>
    <n v="2"/>
    <x v="12"/>
    <x v="2"/>
  </r>
  <r>
    <s v="TX502308"/>
    <x v="3"/>
    <x v="1"/>
    <n v="34.200000000000003"/>
    <n v="68.400000000000006"/>
    <x v="84"/>
    <d v="2025-04-05T00:00:00"/>
    <s v=""/>
    <x v="1"/>
    <x v="0"/>
    <x v="0"/>
    <x v="3"/>
    <n v="10"/>
    <x v="12"/>
    <x v="0"/>
  </r>
  <r>
    <s v="TX502309"/>
    <x v="5"/>
    <x v="1"/>
    <n v="107.9"/>
    <n v="215.8"/>
    <x v="84"/>
    <d v="2025-03-26T00:00:00"/>
    <s v="M"/>
    <x v="1"/>
    <x v="4"/>
    <x v="0"/>
    <x v="3"/>
    <n v="0"/>
    <x v="12"/>
    <x v="1"/>
  </r>
  <r>
    <s v="TX502310"/>
    <x v="0"/>
    <x v="2"/>
    <n v="17.5"/>
    <n v="52.5"/>
    <x v="84"/>
    <d v="2025-03-28T00:00:00"/>
    <s v="M"/>
    <x v="4"/>
    <x v="0"/>
    <x v="0"/>
    <x v="3"/>
    <n v="2"/>
    <x v="12"/>
    <x v="1"/>
  </r>
  <r>
    <s v="TX502311"/>
    <x v="13"/>
    <x v="20"/>
    <n v="44.7"/>
    <n v="670.5"/>
    <x v="84"/>
    <d v="2025-03-27T00:00:00"/>
    <s v="M"/>
    <x v="0"/>
    <x v="1"/>
    <x v="0"/>
    <x v="3"/>
    <n v="1"/>
    <x v="12"/>
    <x v="1"/>
  </r>
  <r>
    <s v="TX502312"/>
    <x v="12"/>
    <x v="13"/>
    <n v="92.7"/>
    <n v="556.20000000000005"/>
    <x v="84"/>
    <d v="2025-03-28T00:00:00"/>
    <s v="F"/>
    <x v="2"/>
    <x v="1"/>
    <x v="0"/>
    <x v="3"/>
    <n v="2"/>
    <x v="12"/>
    <x v="2"/>
  </r>
  <r>
    <s v="TX502313"/>
    <x v="7"/>
    <x v="2"/>
    <n v="48.8"/>
    <n v="146.39999999999998"/>
    <x v="84"/>
    <d v="2025-03-28T00:00:00"/>
    <s v="F"/>
    <x v="2"/>
    <x v="0"/>
    <x v="0"/>
    <x v="3"/>
    <n v="2"/>
    <x v="12"/>
    <x v="2"/>
  </r>
  <r>
    <s v="TX502314"/>
    <x v="4"/>
    <x v="27"/>
    <n v="21.3"/>
    <n v="340.8"/>
    <x v="84"/>
    <d v="2025-03-30T00:00:00"/>
    <s v="F"/>
    <x v="3"/>
    <x v="3"/>
    <x v="0"/>
    <x v="3"/>
    <n v="4"/>
    <x v="12"/>
    <x v="2"/>
  </r>
  <r>
    <s v="TX502315"/>
    <x v="16"/>
    <x v="0"/>
    <n v="52.5"/>
    <n v="52.5"/>
    <x v="84"/>
    <d v="2025-03-27T00:00:00"/>
    <s v="F"/>
    <x v="0"/>
    <x v="0"/>
    <x v="0"/>
    <x v="3"/>
    <n v="1"/>
    <x v="12"/>
    <x v="2"/>
  </r>
  <r>
    <s v="TX502316"/>
    <x v="1"/>
    <x v="1"/>
    <n v="92.4"/>
    <n v="184.8"/>
    <x v="84"/>
    <d v="2025-04-01T00:00:00"/>
    <s v="F"/>
    <x v="0"/>
    <x v="2"/>
    <x v="0"/>
    <x v="3"/>
    <n v="6"/>
    <x v="12"/>
    <x v="2"/>
  </r>
  <r>
    <s v="TX502317"/>
    <x v="4"/>
    <x v="5"/>
    <n v="58.3"/>
    <n v="641.29999999999995"/>
    <x v="84"/>
    <d v="2025-03-28T00:00:00"/>
    <s v="M"/>
    <x v="1"/>
    <x v="2"/>
    <x v="0"/>
    <x v="3"/>
    <n v="2"/>
    <x v="12"/>
    <x v="1"/>
  </r>
  <r>
    <s v="TX502318"/>
    <x v="6"/>
    <x v="44"/>
    <n v="152.6"/>
    <n v="3509.7999999999997"/>
    <x v="85"/>
    <d v="2025-03-29T00:00:00"/>
    <s v=""/>
    <x v="0"/>
    <x v="0"/>
    <x v="0"/>
    <x v="3"/>
    <n v="2"/>
    <x v="12"/>
    <x v="0"/>
  </r>
  <r>
    <s v="TX502319"/>
    <x v="8"/>
    <x v="1"/>
    <n v="26"/>
    <n v="52"/>
    <x v="85"/>
    <d v="2025-03-27T00:00:00"/>
    <s v=""/>
    <x v="0"/>
    <x v="1"/>
    <x v="0"/>
    <x v="3"/>
    <n v="0"/>
    <x v="12"/>
    <x v="0"/>
  </r>
  <r>
    <s v="TX502320"/>
    <x v="1"/>
    <x v="12"/>
    <n v="33.1"/>
    <n v="132.4"/>
    <x v="85"/>
    <d v="2025-03-27T00:00:00"/>
    <s v="M"/>
    <x v="2"/>
    <x v="4"/>
    <x v="0"/>
    <x v="5"/>
    <n v="0"/>
    <x v="12"/>
    <x v="1"/>
  </r>
  <r>
    <s v="TX502321"/>
    <x v="18"/>
    <x v="0"/>
    <n v="51.4"/>
    <n v="51.4"/>
    <x v="85"/>
    <d v="2025-03-29T00:00:00"/>
    <s v="F"/>
    <x v="1"/>
    <x v="1"/>
    <x v="0"/>
    <x v="5"/>
    <n v="2"/>
    <x v="12"/>
    <x v="2"/>
  </r>
  <r>
    <s v="TX502322"/>
    <x v="8"/>
    <x v="1"/>
    <n v="30.2"/>
    <n v="60.4"/>
    <x v="85"/>
    <d v="2025-03-28T00:00:00"/>
    <s v="F"/>
    <x v="2"/>
    <x v="2"/>
    <x v="0"/>
    <x v="6"/>
    <n v="1"/>
    <x v="12"/>
    <x v="2"/>
  </r>
  <r>
    <s v="TX502323"/>
    <x v="2"/>
    <x v="13"/>
    <n v="97"/>
    <n v="582"/>
    <x v="85"/>
    <d v="2025-03-31T00:00:00"/>
    <s v="F"/>
    <x v="0"/>
    <x v="2"/>
    <x v="0"/>
    <x v="7"/>
    <n v="4"/>
    <x v="12"/>
    <x v="2"/>
  </r>
  <r>
    <s v="TX502324"/>
    <x v="2"/>
    <x v="0"/>
    <n v="76.900000000000006"/>
    <n v="76.900000000000006"/>
    <x v="85"/>
    <d v="2025-03-28T00:00:00"/>
    <s v="M"/>
    <x v="1"/>
    <x v="2"/>
    <x v="0"/>
    <x v="8"/>
    <n v="1"/>
    <x v="12"/>
    <x v="1"/>
  </r>
  <r>
    <s v="TX502325"/>
    <x v="7"/>
    <x v="13"/>
    <n v="36.1"/>
    <n v="216.60000000000002"/>
    <x v="85"/>
    <d v="2025-03-31T00:00:00"/>
    <s v="F"/>
    <x v="0"/>
    <x v="0"/>
    <x v="0"/>
    <x v="8"/>
    <n v="4"/>
    <x v="12"/>
    <x v="2"/>
  </r>
  <r>
    <s v="TX502326"/>
    <x v="1"/>
    <x v="3"/>
    <n v="34.4"/>
    <n v="240.79999999999998"/>
    <x v="85"/>
    <d v="2025-03-27T00:00:00"/>
    <s v="F"/>
    <x v="2"/>
    <x v="1"/>
    <x v="0"/>
    <x v="11"/>
    <n v="0"/>
    <x v="12"/>
    <x v="2"/>
  </r>
  <r>
    <s v="TX502327"/>
    <x v="1"/>
    <x v="31"/>
    <n v="53.4"/>
    <n v="1495.2"/>
    <x v="85"/>
    <d v="2025-03-29T00:00:00"/>
    <s v="F"/>
    <x v="1"/>
    <x v="0"/>
    <x v="0"/>
    <x v="18"/>
    <n v="2"/>
    <x v="12"/>
    <x v="2"/>
  </r>
  <r>
    <s v="TX502328"/>
    <x v="2"/>
    <x v="0"/>
    <n v="77.599999999999994"/>
    <n v="77.599999999999994"/>
    <x v="85"/>
    <d v="2025-03-28T00:00:00"/>
    <s v="F"/>
    <x v="0"/>
    <x v="1"/>
    <x v="0"/>
    <x v="19"/>
    <n v="1"/>
    <x v="12"/>
    <x v="2"/>
  </r>
  <r>
    <s v="TX502329"/>
    <x v="1"/>
    <x v="2"/>
    <n v="71.7"/>
    <n v="215.10000000000002"/>
    <x v="85"/>
    <d v="2025-03-30T00:00:00"/>
    <s v="F"/>
    <x v="1"/>
    <x v="0"/>
    <x v="0"/>
    <x v="19"/>
    <n v="3"/>
    <x v="12"/>
    <x v="2"/>
  </r>
  <r>
    <s v="TX502330"/>
    <x v="3"/>
    <x v="2"/>
    <n v="80.599999999999994"/>
    <n v="241.79999999999998"/>
    <x v="85"/>
    <d v="2025-03-28T00:00:00"/>
    <s v="M"/>
    <x v="4"/>
    <x v="1"/>
    <x v="0"/>
    <x v="19"/>
    <n v="1"/>
    <x v="12"/>
    <x v="1"/>
  </r>
  <r>
    <s v="TX502331"/>
    <x v="1"/>
    <x v="20"/>
    <n v="70"/>
    <n v="1050"/>
    <x v="85"/>
    <d v="2025-03-29T00:00:00"/>
    <s v="M"/>
    <x v="0"/>
    <x v="0"/>
    <x v="0"/>
    <x v="20"/>
    <n v="2"/>
    <x v="12"/>
    <x v="1"/>
  </r>
  <r>
    <s v="TX502332"/>
    <x v="4"/>
    <x v="13"/>
    <n v="27.3"/>
    <n v="163.80000000000001"/>
    <x v="85"/>
    <d v="2025-03-29T00:00:00"/>
    <s v="F"/>
    <x v="1"/>
    <x v="1"/>
    <x v="0"/>
    <x v="2"/>
    <n v="2"/>
    <x v="12"/>
    <x v="2"/>
  </r>
  <r>
    <s v="TX502333"/>
    <x v="8"/>
    <x v="21"/>
    <n v="37.6"/>
    <n v="526.4"/>
    <x v="85"/>
    <d v="2025-03-29T00:00:00"/>
    <s v="M"/>
    <x v="1"/>
    <x v="0"/>
    <x v="0"/>
    <x v="3"/>
    <n v="2"/>
    <x v="12"/>
    <x v="1"/>
  </r>
  <r>
    <s v="TX502334"/>
    <x v="5"/>
    <x v="2"/>
    <n v="36.6"/>
    <n v="109.80000000000001"/>
    <x v="85"/>
    <d v="2025-03-29T00:00:00"/>
    <s v="F"/>
    <x v="4"/>
    <x v="0"/>
    <x v="0"/>
    <x v="3"/>
    <n v="2"/>
    <x v="12"/>
    <x v="2"/>
  </r>
  <r>
    <s v="TX502335"/>
    <x v="13"/>
    <x v="0"/>
    <n v="55.2"/>
    <n v="55.2"/>
    <x v="85"/>
    <d v="2025-03-29T00:00:00"/>
    <s v="M"/>
    <x v="3"/>
    <x v="0"/>
    <x v="0"/>
    <x v="3"/>
    <n v="2"/>
    <x v="12"/>
    <x v="1"/>
  </r>
  <r>
    <s v="TX502336"/>
    <x v="6"/>
    <x v="9"/>
    <n v="59.9"/>
    <n v="299.5"/>
    <x v="85"/>
    <d v="2025-03-29T00:00:00"/>
    <s v="M"/>
    <x v="0"/>
    <x v="0"/>
    <x v="0"/>
    <x v="3"/>
    <n v="2"/>
    <x v="12"/>
    <x v="1"/>
  </r>
  <r>
    <s v="TX502337"/>
    <x v="6"/>
    <x v="0"/>
    <n v="44"/>
    <n v="44"/>
    <x v="85"/>
    <d v="2025-03-28T00:00:00"/>
    <s v="F"/>
    <x v="2"/>
    <x v="2"/>
    <x v="0"/>
    <x v="3"/>
    <n v="1"/>
    <x v="12"/>
    <x v="2"/>
  </r>
  <r>
    <s v="TX502338"/>
    <x v="9"/>
    <x v="1"/>
    <n v="68.7"/>
    <n v="137.4"/>
    <x v="85"/>
    <d v="2025-03-27T00:00:00"/>
    <s v="M"/>
    <x v="0"/>
    <x v="0"/>
    <x v="0"/>
    <x v="3"/>
    <n v="0"/>
    <x v="12"/>
    <x v="1"/>
  </r>
  <r>
    <s v="TX502339"/>
    <x v="5"/>
    <x v="1"/>
    <n v="61.6"/>
    <n v="123.2"/>
    <x v="85"/>
    <d v="2025-03-31T00:00:00"/>
    <s v="M"/>
    <x v="3"/>
    <x v="1"/>
    <x v="0"/>
    <x v="3"/>
    <n v="4"/>
    <x v="12"/>
    <x v="1"/>
  </r>
  <r>
    <s v="TX502340"/>
    <x v="7"/>
    <x v="3"/>
    <n v="51.8"/>
    <n v="362.59999999999997"/>
    <x v="85"/>
    <d v="2025-03-28T00:00:00"/>
    <s v="M"/>
    <x v="0"/>
    <x v="0"/>
    <x v="0"/>
    <x v="3"/>
    <n v="1"/>
    <x v="12"/>
    <x v="1"/>
  </r>
  <r>
    <s v="TX502341"/>
    <x v="8"/>
    <x v="7"/>
    <n v="46.2"/>
    <n v="462"/>
    <x v="85"/>
    <d v="2025-03-29T00:00:00"/>
    <s v="M"/>
    <x v="1"/>
    <x v="2"/>
    <x v="0"/>
    <x v="3"/>
    <n v="2"/>
    <x v="12"/>
    <x v="1"/>
  </r>
  <r>
    <s v="TX502342"/>
    <x v="0"/>
    <x v="1"/>
    <n v="19.399999999999999"/>
    <n v="38.799999999999997"/>
    <x v="85"/>
    <d v="2025-03-29T00:00:00"/>
    <s v="F"/>
    <x v="1"/>
    <x v="2"/>
    <x v="0"/>
    <x v="6"/>
    <n v="2"/>
    <x v="12"/>
    <x v="2"/>
  </r>
  <r>
    <s v="TX502343"/>
    <x v="11"/>
    <x v="2"/>
    <n v="52.1"/>
    <n v="156.30000000000001"/>
    <x v="85"/>
    <d v="2025-03-30T00:00:00"/>
    <s v="M"/>
    <x v="3"/>
    <x v="3"/>
    <x v="0"/>
    <x v="6"/>
    <n v="3"/>
    <x v="12"/>
    <x v="1"/>
  </r>
  <r>
    <s v="TX502344"/>
    <x v="6"/>
    <x v="0"/>
    <n v="74.900000000000006"/>
    <n v="74.900000000000006"/>
    <x v="85"/>
    <d v="2025-03-29T00:00:00"/>
    <s v="O"/>
    <x v="0"/>
    <x v="0"/>
    <x v="0"/>
    <x v="7"/>
    <n v="2"/>
    <x v="12"/>
    <x v="3"/>
  </r>
  <r>
    <s v="TX502345"/>
    <x v="9"/>
    <x v="3"/>
    <n v="49.6"/>
    <n v="347.2"/>
    <x v="85"/>
    <d v="2025-03-30T00:00:00"/>
    <s v="F"/>
    <x v="4"/>
    <x v="0"/>
    <x v="0"/>
    <x v="8"/>
    <n v="3"/>
    <x v="12"/>
    <x v="2"/>
  </r>
  <r>
    <s v="TX502346"/>
    <x v="16"/>
    <x v="12"/>
    <n v="82.8"/>
    <n v="331.2"/>
    <x v="86"/>
    <d v="2025-03-31T00:00:00"/>
    <s v="F"/>
    <x v="4"/>
    <x v="0"/>
    <x v="0"/>
    <x v="8"/>
    <n v="3"/>
    <x v="12"/>
    <x v="2"/>
  </r>
  <r>
    <s v="TX502347"/>
    <x v="2"/>
    <x v="0"/>
    <n v="97.7"/>
    <n v="97.7"/>
    <x v="86"/>
    <d v="2025-03-29T00:00:00"/>
    <s v="F"/>
    <x v="1"/>
    <x v="0"/>
    <x v="0"/>
    <x v="8"/>
    <n v="1"/>
    <x v="12"/>
    <x v="2"/>
  </r>
  <r>
    <s v="TX502348"/>
    <x v="6"/>
    <x v="9"/>
    <n v="83.6"/>
    <n v="418"/>
    <x v="86"/>
    <d v="2025-03-29T00:00:00"/>
    <s v="F"/>
    <x v="4"/>
    <x v="0"/>
    <x v="0"/>
    <x v="8"/>
    <n v="1"/>
    <x v="12"/>
    <x v="2"/>
  </r>
  <r>
    <s v="TX502349"/>
    <x v="8"/>
    <x v="9"/>
    <n v="23.5"/>
    <n v="117.5"/>
    <x v="86"/>
    <d v="2025-04-01T00:00:00"/>
    <s v="O"/>
    <x v="0"/>
    <x v="0"/>
    <x v="0"/>
    <x v="8"/>
    <n v="4"/>
    <x v="12"/>
    <x v="3"/>
  </r>
  <r>
    <s v="TX502350"/>
    <x v="9"/>
    <x v="2"/>
    <n v="44.6"/>
    <n v="133.80000000000001"/>
    <x v="86"/>
    <d v="2025-03-31T00:00:00"/>
    <s v="F"/>
    <x v="4"/>
    <x v="1"/>
    <x v="0"/>
    <x v="26"/>
    <n v="3"/>
    <x v="12"/>
    <x v="2"/>
  </r>
  <r>
    <s v="TX502351"/>
    <x v="0"/>
    <x v="2"/>
    <n v="20.100000000000001"/>
    <n v="60.300000000000004"/>
    <x v="86"/>
    <d v="2025-03-30T00:00:00"/>
    <s v="F"/>
    <x v="3"/>
    <x v="4"/>
    <x v="0"/>
    <x v="11"/>
    <n v="2"/>
    <x v="12"/>
    <x v="2"/>
  </r>
  <r>
    <s v="TX502352"/>
    <x v="2"/>
    <x v="9"/>
    <n v="153.6"/>
    <n v="768"/>
    <x v="86"/>
    <d v="2025-03-29T00:00:00"/>
    <s v="F"/>
    <x v="1"/>
    <x v="2"/>
    <x v="0"/>
    <x v="53"/>
    <n v="1"/>
    <x v="12"/>
    <x v="2"/>
  </r>
  <r>
    <s v="TX502353"/>
    <x v="1"/>
    <x v="1"/>
    <n v="71.8"/>
    <n v="143.6"/>
    <x v="86"/>
    <d v="2025-04-01T00:00:00"/>
    <s v="F"/>
    <x v="1"/>
    <x v="0"/>
    <x v="0"/>
    <x v="1"/>
    <n v="4"/>
    <x v="12"/>
    <x v="2"/>
  </r>
  <r>
    <s v="TX502354"/>
    <x v="10"/>
    <x v="0"/>
    <n v="64.7"/>
    <n v="64.7"/>
    <x v="86"/>
    <d v="2025-03-30T00:00:00"/>
    <s v=""/>
    <x v="0"/>
    <x v="1"/>
    <x v="0"/>
    <x v="1"/>
    <n v="2"/>
    <x v="12"/>
    <x v="0"/>
  </r>
  <r>
    <s v="TX502355"/>
    <x v="9"/>
    <x v="8"/>
    <n v="60.4"/>
    <n v="483.2"/>
    <x v="86"/>
    <d v="2025-03-30T00:00:00"/>
    <s v="F"/>
    <x v="3"/>
    <x v="2"/>
    <x v="0"/>
    <x v="2"/>
    <n v="2"/>
    <x v="12"/>
    <x v="2"/>
  </r>
  <r>
    <s v="TX502356"/>
    <x v="6"/>
    <x v="12"/>
    <n v="86"/>
    <n v="344"/>
    <x v="86"/>
    <d v="2025-03-31T00:00:00"/>
    <s v="F"/>
    <x v="2"/>
    <x v="2"/>
    <x v="0"/>
    <x v="22"/>
    <n v="3"/>
    <x v="12"/>
    <x v="2"/>
  </r>
  <r>
    <s v="TX502357"/>
    <x v="12"/>
    <x v="1"/>
    <n v="42.1"/>
    <n v="84.2"/>
    <x v="86"/>
    <d v="2025-03-29T00:00:00"/>
    <s v="F"/>
    <x v="4"/>
    <x v="1"/>
    <x v="0"/>
    <x v="34"/>
    <n v="1"/>
    <x v="12"/>
    <x v="2"/>
  </r>
  <r>
    <s v="TX502358"/>
    <x v="16"/>
    <x v="11"/>
    <n v="51.1"/>
    <n v="459.90000000000003"/>
    <x v="86"/>
    <d v="2025-03-29T00:00:00"/>
    <s v="M"/>
    <x v="2"/>
    <x v="1"/>
    <x v="0"/>
    <x v="3"/>
    <n v="1"/>
    <x v="12"/>
    <x v="1"/>
  </r>
  <r>
    <s v="TX502359"/>
    <x v="9"/>
    <x v="12"/>
    <n v="73.8"/>
    <n v="295.2"/>
    <x v="86"/>
    <d v="2025-03-29T00:00:00"/>
    <s v="M"/>
    <x v="4"/>
    <x v="0"/>
    <x v="0"/>
    <x v="3"/>
    <n v="1"/>
    <x v="12"/>
    <x v="1"/>
  </r>
  <r>
    <s v="TX502360"/>
    <x v="8"/>
    <x v="9"/>
    <n v="27"/>
    <n v="135"/>
    <x v="86"/>
    <d v="2025-03-31T00:00:00"/>
    <s v="F"/>
    <x v="2"/>
    <x v="2"/>
    <x v="0"/>
    <x v="3"/>
    <n v="3"/>
    <x v="12"/>
    <x v="2"/>
  </r>
  <r>
    <s v="TX502361"/>
    <x v="8"/>
    <x v="13"/>
    <n v="60.1"/>
    <n v="360.6"/>
    <x v="86"/>
    <d v="2025-03-29T00:00:00"/>
    <s v="M"/>
    <x v="3"/>
    <x v="0"/>
    <x v="0"/>
    <x v="3"/>
    <n v="1"/>
    <x v="12"/>
    <x v="1"/>
  </r>
  <r>
    <s v="TX502362"/>
    <x v="2"/>
    <x v="3"/>
    <n v="94.1"/>
    <n v="658.69999999999993"/>
    <x v="86"/>
    <d v="2025-03-30T00:00:00"/>
    <s v="F"/>
    <x v="4"/>
    <x v="1"/>
    <x v="0"/>
    <x v="3"/>
    <n v="2"/>
    <x v="12"/>
    <x v="2"/>
  </r>
  <r>
    <s v="TX502363"/>
    <x v="2"/>
    <x v="1"/>
    <n v="124.1"/>
    <n v="248.2"/>
    <x v="86"/>
    <d v="2025-03-28T00:00:00"/>
    <s v="F"/>
    <x v="2"/>
    <x v="3"/>
    <x v="0"/>
    <x v="43"/>
    <n v="0"/>
    <x v="12"/>
    <x v="2"/>
  </r>
  <r>
    <s v="TX502364"/>
    <x v="8"/>
    <x v="12"/>
    <n v="16.899999999999999"/>
    <n v="67.599999999999994"/>
    <x v="86"/>
    <d v="2025-03-31T00:00:00"/>
    <s v="M"/>
    <x v="3"/>
    <x v="0"/>
    <x v="0"/>
    <x v="6"/>
    <n v="3"/>
    <x v="12"/>
    <x v="1"/>
  </r>
  <r>
    <s v="TX502365"/>
    <x v="1"/>
    <x v="0"/>
    <n v="36.9"/>
    <n v="36.9"/>
    <x v="86"/>
    <d v="2025-03-29T00:00:00"/>
    <s v="M"/>
    <x v="0"/>
    <x v="0"/>
    <x v="0"/>
    <x v="6"/>
    <n v="1"/>
    <x v="12"/>
    <x v="1"/>
  </r>
  <r>
    <s v="TX502366"/>
    <x v="9"/>
    <x v="1"/>
    <n v="22.6"/>
    <n v="45.2"/>
    <x v="86"/>
    <d v="2025-04-10T00:00:00"/>
    <s v="F"/>
    <x v="2"/>
    <x v="1"/>
    <x v="0"/>
    <x v="8"/>
    <n v="13"/>
    <x v="12"/>
    <x v="2"/>
  </r>
  <r>
    <s v="TX502367"/>
    <x v="7"/>
    <x v="12"/>
    <n v="35"/>
    <n v="140"/>
    <x v="86"/>
    <d v="2025-04-02T00:00:00"/>
    <s v="M"/>
    <x v="3"/>
    <x v="1"/>
    <x v="0"/>
    <x v="8"/>
    <n v="5"/>
    <x v="12"/>
    <x v="1"/>
  </r>
  <r>
    <s v="TX502368"/>
    <x v="9"/>
    <x v="13"/>
    <n v="63.6"/>
    <n v="381.6"/>
    <x v="86"/>
    <d v="2025-04-04T00:00:00"/>
    <s v=""/>
    <x v="1"/>
    <x v="2"/>
    <x v="0"/>
    <x v="8"/>
    <n v="7"/>
    <x v="12"/>
    <x v="0"/>
  </r>
  <r>
    <s v="TX502369"/>
    <x v="15"/>
    <x v="12"/>
    <n v="78.599999999999994"/>
    <n v="314.39999999999998"/>
    <x v="86"/>
    <d v="2025-03-29T00:00:00"/>
    <s v="M"/>
    <x v="4"/>
    <x v="1"/>
    <x v="0"/>
    <x v="8"/>
    <n v="1"/>
    <x v="12"/>
    <x v="1"/>
  </r>
  <r>
    <s v="TX502370"/>
    <x v="3"/>
    <x v="1"/>
    <n v="38.5"/>
    <n v="77"/>
    <x v="86"/>
    <d v="2025-03-29T00:00:00"/>
    <s v="M"/>
    <x v="0"/>
    <x v="2"/>
    <x v="0"/>
    <x v="8"/>
    <n v="1"/>
    <x v="12"/>
    <x v="1"/>
  </r>
  <r>
    <s v="TX502371"/>
    <x v="8"/>
    <x v="5"/>
    <n v="71.5"/>
    <n v="786.5"/>
    <x v="86"/>
    <d v="2025-03-29T00:00:00"/>
    <s v="F"/>
    <x v="1"/>
    <x v="4"/>
    <x v="0"/>
    <x v="8"/>
    <n v="1"/>
    <x v="12"/>
    <x v="2"/>
  </r>
  <r>
    <s v="TX502372"/>
    <x v="6"/>
    <x v="12"/>
    <n v="121.4"/>
    <n v="485.6"/>
    <x v="86"/>
    <d v="2025-04-01T00:00:00"/>
    <s v="M"/>
    <x v="1"/>
    <x v="2"/>
    <x v="0"/>
    <x v="17"/>
    <n v="4"/>
    <x v="12"/>
    <x v="1"/>
  </r>
  <r>
    <s v="TX502373"/>
    <x v="11"/>
    <x v="0"/>
    <n v="40.200000000000003"/>
    <n v="40.200000000000003"/>
    <x v="86"/>
    <d v="2025-03-31T00:00:00"/>
    <s v="F"/>
    <x v="0"/>
    <x v="2"/>
    <x v="0"/>
    <x v="11"/>
    <n v="3"/>
    <x v="12"/>
    <x v="2"/>
  </r>
  <r>
    <s v="TX502374"/>
    <x v="5"/>
    <x v="9"/>
    <n v="31.9"/>
    <n v="159.5"/>
    <x v="86"/>
    <d v="2025-03-30T00:00:00"/>
    <s v="F"/>
    <x v="2"/>
    <x v="2"/>
    <x v="0"/>
    <x v="28"/>
    <n v="2"/>
    <x v="12"/>
    <x v="2"/>
  </r>
  <r>
    <s v="TX502375"/>
    <x v="14"/>
    <x v="9"/>
    <n v="15.8"/>
    <n v="79"/>
    <x v="87"/>
    <d v="2025-03-30T00:00:00"/>
    <s v="M"/>
    <x v="3"/>
    <x v="2"/>
    <x v="0"/>
    <x v="21"/>
    <n v="1"/>
    <x v="12"/>
    <x v="1"/>
  </r>
  <r>
    <s v="TX502376"/>
    <x v="10"/>
    <x v="1"/>
    <n v="25.1"/>
    <n v="50.2"/>
    <x v="87"/>
    <d v="2025-03-31T00:00:00"/>
    <s v=""/>
    <x v="1"/>
    <x v="0"/>
    <x v="0"/>
    <x v="21"/>
    <n v="2"/>
    <x v="12"/>
    <x v="0"/>
  </r>
  <r>
    <s v="TX502377"/>
    <x v="1"/>
    <x v="44"/>
    <n v="38.1"/>
    <n v="876.30000000000007"/>
    <x v="87"/>
    <d v="2025-03-30T00:00:00"/>
    <s v="F"/>
    <x v="4"/>
    <x v="0"/>
    <x v="0"/>
    <x v="1"/>
    <n v="1"/>
    <x v="12"/>
    <x v="2"/>
  </r>
  <r>
    <s v="TX502378"/>
    <x v="3"/>
    <x v="1"/>
    <n v="42.2"/>
    <n v="84.4"/>
    <x v="87"/>
    <d v="2025-03-31T00:00:00"/>
    <s v="F"/>
    <x v="0"/>
    <x v="2"/>
    <x v="0"/>
    <x v="1"/>
    <n v="2"/>
    <x v="12"/>
    <x v="2"/>
  </r>
  <r>
    <s v="TX502379"/>
    <x v="0"/>
    <x v="7"/>
    <n v="12.3"/>
    <n v="123"/>
    <x v="87"/>
    <d v="2025-03-30T00:00:00"/>
    <s v="F"/>
    <x v="4"/>
    <x v="0"/>
    <x v="0"/>
    <x v="2"/>
    <n v="1"/>
    <x v="12"/>
    <x v="2"/>
  </r>
  <r>
    <s v="TX502380"/>
    <x v="7"/>
    <x v="0"/>
    <n v="30.2"/>
    <n v="30.2"/>
    <x v="87"/>
    <d v="2025-03-31T00:00:00"/>
    <s v="F"/>
    <x v="1"/>
    <x v="2"/>
    <x v="0"/>
    <x v="34"/>
    <n v="2"/>
    <x v="12"/>
    <x v="2"/>
  </r>
  <r>
    <s v="TX502381"/>
    <x v="5"/>
    <x v="2"/>
    <n v="25.3"/>
    <n v="75.900000000000006"/>
    <x v="87"/>
    <d v="2025-04-01T00:00:00"/>
    <s v="F"/>
    <x v="2"/>
    <x v="0"/>
    <x v="0"/>
    <x v="3"/>
    <n v="3"/>
    <x v="12"/>
    <x v="2"/>
  </r>
  <r>
    <s v="TX502382"/>
    <x v="8"/>
    <x v="9"/>
    <n v="29.7"/>
    <n v="148.5"/>
    <x v="87"/>
    <d v="2025-03-31T00:00:00"/>
    <s v="M"/>
    <x v="3"/>
    <x v="0"/>
    <x v="0"/>
    <x v="3"/>
    <n v="2"/>
    <x v="12"/>
    <x v="1"/>
  </r>
  <r>
    <s v="TX502383"/>
    <x v="9"/>
    <x v="8"/>
    <n v="32.9"/>
    <n v="263.2"/>
    <x v="87"/>
    <d v="2025-03-30T00:00:00"/>
    <s v=""/>
    <x v="3"/>
    <x v="2"/>
    <x v="0"/>
    <x v="3"/>
    <n v="1"/>
    <x v="12"/>
    <x v="0"/>
  </r>
  <r>
    <s v="TX502384"/>
    <x v="10"/>
    <x v="1"/>
    <n v="43.6"/>
    <n v="87.2"/>
    <x v="87"/>
    <d v="2025-03-30T00:00:00"/>
    <s v="M"/>
    <x v="1"/>
    <x v="2"/>
    <x v="0"/>
    <x v="3"/>
    <n v="1"/>
    <x v="12"/>
    <x v="1"/>
  </r>
  <r>
    <s v="TX502385"/>
    <x v="15"/>
    <x v="12"/>
    <n v="78.400000000000006"/>
    <n v="313.60000000000002"/>
    <x v="87"/>
    <d v="2025-03-30T00:00:00"/>
    <s v="M"/>
    <x v="2"/>
    <x v="0"/>
    <x v="0"/>
    <x v="3"/>
    <n v="1"/>
    <x v="12"/>
    <x v="1"/>
  </r>
  <r>
    <s v="TX502386"/>
    <x v="6"/>
    <x v="1"/>
    <n v="56.5"/>
    <n v="113"/>
    <x v="87"/>
    <d v="2025-04-02T00:00:00"/>
    <s v="M"/>
    <x v="1"/>
    <x v="1"/>
    <x v="0"/>
    <x v="3"/>
    <n v="4"/>
    <x v="12"/>
    <x v="1"/>
  </r>
  <r>
    <s v="TX502387"/>
    <x v="16"/>
    <x v="0"/>
    <n v="36.700000000000003"/>
    <n v="36.700000000000003"/>
    <x v="87"/>
    <d v="2025-03-30T00:00:00"/>
    <s v="F"/>
    <x v="0"/>
    <x v="2"/>
    <x v="0"/>
    <x v="3"/>
    <n v="1"/>
    <x v="12"/>
    <x v="2"/>
  </r>
  <r>
    <s v="TX502388"/>
    <x v="2"/>
    <x v="12"/>
    <n v="103.6"/>
    <n v="414.4"/>
    <x v="87"/>
    <d v="2025-04-09T00:00:00"/>
    <s v="M"/>
    <x v="4"/>
    <x v="2"/>
    <x v="0"/>
    <x v="3"/>
    <n v="11"/>
    <x v="12"/>
    <x v="1"/>
  </r>
  <r>
    <s v="TX502389"/>
    <x v="8"/>
    <x v="13"/>
    <n v="16.2"/>
    <n v="97.199999999999989"/>
    <x v="87"/>
    <d v="2025-04-02T00:00:00"/>
    <s v="M"/>
    <x v="1"/>
    <x v="2"/>
    <x v="0"/>
    <x v="6"/>
    <n v="4"/>
    <x v="12"/>
    <x v="1"/>
  </r>
  <r>
    <s v="TX502390"/>
    <x v="8"/>
    <x v="1"/>
    <n v="20.2"/>
    <n v="40.4"/>
    <x v="87"/>
    <d v="2025-03-30T00:00:00"/>
    <s v="F"/>
    <x v="0"/>
    <x v="0"/>
    <x v="0"/>
    <x v="6"/>
    <n v="1"/>
    <x v="12"/>
    <x v="2"/>
  </r>
  <r>
    <s v="TX502391"/>
    <x v="11"/>
    <x v="1"/>
    <n v="26.9"/>
    <n v="53.8"/>
    <x v="87"/>
    <d v="2025-03-31T00:00:00"/>
    <s v="F"/>
    <x v="2"/>
    <x v="0"/>
    <x v="0"/>
    <x v="6"/>
    <n v="2"/>
    <x v="12"/>
    <x v="2"/>
  </r>
  <r>
    <s v="TX502392"/>
    <x v="1"/>
    <x v="1"/>
    <n v="82.4"/>
    <n v="164.8"/>
    <x v="87"/>
    <d v="2025-04-01T00:00:00"/>
    <s v=""/>
    <x v="0"/>
    <x v="0"/>
    <x v="0"/>
    <x v="7"/>
    <n v="3"/>
    <x v="12"/>
    <x v="0"/>
  </r>
  <r>
    <s v="TX502393"/>
    <x v="2"/>
    <x v="1"/>
    <n v="117.8"/>
    <n v="235.6"/>
    <x v="87"/>
    <d v="2025-03-31T00:00:00"/>
    <s v="M"/>
    <x v="1"/>
    <x v="2"/>
    <x v="0"/>
    <x v="8"/>
    <n v="2"/>
    <x v="12"/>
    <x v="1"/>
  </r>
  <r>
    <s v="TX502394"/>
    <x v="11"/>
    <x v="12"/>
    <n v="36.700000000000003"/>
    <n v="146.80000000000001"/>
    <x v="87"/>
    <d v="2025-03-30T00:00:00"/>
    <s v="M"/>
    <x v="1"/>
    <x v="0"/>
    <x v="0"/>
    <x v="8"/>
    <n v="1"/>
    <x v="12"/>
    <x v="1"/>
  </r>
  <r>
    <s v="TX502395"/>
    <x v="17"/>
    <x v="2"/>
    <n v="46.8"/>
    <n v="140.39999999999998"/>
    <x v="87"/>
    <d v="2025-03-30T00:00:00"/>
    <s v="M"/>
    <x v="4"/>
    <x v="2"/>
    <x v="0"/>
    <x v="10"/>
    <n v="1"/>
    <x v="12"/>
    <x v="1"/>
  </r>
  <r>
    <s v="TX502396"/>
    <x v="3"/>
    <x v="0"/>
    <n v="61.4"/>
    <n v="61.4"/>
    <x v="87"/>
    <d v="2025-03-30T00:00:00"/>
    <s v="M"/>
    <x v="1"/>
    <x v="0"/>
    <x v="0"/>
    <x v="10"/>
    <n v="1"/>
    <x v="12"/>
    <x v="1"/>
  </r>
  <r>
    <s v="TX502397"/>
    <x v="15"/>
    <x v="1"/>
    <n v="22.9"/>
    <n v="45.8"/>
    <x v="87"/>
    <d v="2025-03-30T00:00:00"/>
    <s v="M"/>
    <x v="0"/>
    <x v="0"/>
    <x v="0"/>
    <x v="11"/>
    <n v="1"/>
    <x v="12"/>
    <x v="1"/>
  </r>
  <r>
    <s v="TX502398"/>
    <x v="10"/>
    <x v="1"/>
    <n v="22.1"/>
    <n v="44.2"/>
    <x v="87"/>
    <d v="2025-03-30T00:00:00"/>
    <s v="F"/>
    <x v="4"/>
    <x v="0"/>
    <x v="0"/>
    <x v="11"/>
    <n v="1"/>
    <x v="12"/>
    <x v="2"/>
  </r>
  <r>
    <s v="TX502399"/>
    <x v="12"/>
    <x v="1"/>
    <n v="31"/>
    <n v="62"/>
    <x v="87"/>
    <d v="2025-03-31T00:00:00"/>
    <s v="F"/>
    <x v="2"/>
    <x v="0"/>
    <x v="0"/>
    <x v="18"/>
    <n v="2"/>
    <x v="12"/>
    <x v="2"/>
  </r>
  <r>
    <s v="TX502400"/>
    <x v="18"/>
    <x v="1"/>
    <n v="84.2"/>
    <n v="168.4"/>
    <x v="87"/>
    <d v="2025-03-31T00:00:00"/>
    <s v="M"/>
    <x v="2"/>
    <x v="2"/>
    <x v="0"/>
    <x v="13"/>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507A7-D45D-46BC-BA62-83C93A093BB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5:L10"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EDAD3-E940-49CA-8BBB-BD8DC4D098C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2"/>
          </reference>
        </references>
      </pivotArea>
    </chartFormat>
    <chartFormat chart="3"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1F1BF7-B7C9-4594-90ED-EE179322E102}"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85:K89"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items count="6">
        <item x="3"/>
        <item x="4"/>
        <item x="1"/>
        <item x="0"/>
        <item x="2"/>
        <item t="default"/>
      </items>
    </pivotField>
    <pivotField showAll="0">
      <items count="2">
        <item x="0"/>
        <item t="default"/>
      </items>
    </pivotField>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7"/>
    <field x="8"/>
  </rowFields>
  <rowItems count="4">
    <i>
      <x v="1"/>
    </i>
    <i>
      <x v="2"/>
    </i>
    <i>
      <x v="3"/>
    </i>
    <i t="grand">
      <x/>
    </i>
  </rowItems>
  <colItems count="1">
    <i/>
  </colItems>
  <dataFields count="1">
    <dataField name="Count of TX ID" fld="0" subtotal="count" baseField="0" baseItem="0"/>
  </dataFields>
  <chartFormats count="3">
    <chartFormat chart="12" format="15"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E924D-199E-4210-B10E-8E4CFE3D7417}"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18:M7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B2DF39-F02C-467E-87A6-6590AFA2B32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F9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dataField="1" showAll="0"/>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14"/>
  </colFields>
  <colItems count="5">
    <i>
      <x/>
    </i>
    <i>
      <x v="1"/>
    </i>
    <i>
      <x v="2"/>
    </i>
    <i>
      <x v="3"/>
    </i>
    <i t="grand">
      <x/>
    </i>
  </colItems>
  <dataFields count="1">
    <dataField name="Count of Stat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2D8BE-3E3E-42DB-9CA9-6EA2CA50D83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FE2E4-6BCF-40ED-9FFF-FB1DF7F28C1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5"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D4EA2A-32AD-4FAA-A4AF-69CCC3351A0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2:J19"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E58E091-AFD7-484F-95E1-AD9F72693E98}" sourceName="Order Mode">
  <pivotTables>
    <pivotTable tabId="7" name="PivotTable19"/>
  </pivotTables>
  <data>
    <tabular pivotCacheId="134747838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E02B990-851E-4BEF-A1E2-21B183466315}" sourceName="Gender Value">
  <pivotTables>
    <pivotTable tabId="7" name="PivotTable19"/>
  </pivotTables>
  <data>
    <tabular pivotCacheId="134747838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 xr10:uid="{DFCC40B7-50CD-469A-B397-EBDD24FC488B}" sourceName="Rating C">
  <pivotTables>
    <pivotTable tabId="7" name="PivotTable19"/>
  </pivotTables>
  <data>
    <tabular pivotCacheId="1347478387">
      <items count="5">
        <i x="3" s="1"/>
        <i x="4"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C5387A-4B5B-49D8-9013-0F09A931A90A}" sourceName="Product">
  <pivotTables>
    <pivotTable tabId="7" name="PivotTable19"/>
  </pivotTables>
  <data>
    <tabular pivotCacheId="1347478387">
      <items count="20">
        <i x="14" s="1"/>
        <i x="10" s="1"/>
        <i x="12" s="1"/>
        <i x="15" s="1"/>
        <i x="4" s="1"/>
        <i x="7" s="1"/>
        <i x="6" s="1"/>
        <i x="19" s="1"/>
        <i x="18" s="1"/>
        <i x="11" s="1"/>
        <i x="17" s="1"/>
        <i x="5" s="1"/>
        <i x="0" s="1"/>
        <i x="2" s="1"/>
        <i x="9" s="1"/>
        <i x="16" s="1"/>
        <i x="1" s="1"/>
        <i x="13"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484BD295-D79D-447F-B1E9-0F9809741B86}" cache="Slicer_Order_Mode" caption="Order Mode" rowHeight="257175"/>
  <slicer name="Gender Value" xr10:uid="{CEB3B7B1-71B6-4B9C-A271-C683EB035522}" cache="Slicer_Gender_Value" caption="Gender Value" rowHeight="257175"/>
  <slicer name="Rating C" xr10:uid="{AB39EFE9-BE61-405F-AC68-C962906B506F}" cache="Slicer_Rating_C" caption="Rating C" rowHeight="257175"/>
  <slicer name="Product" xr10:uid="{BD19A0BA-196C-438F-BC63-B73C4CFD5932}"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2473-CA4C-408D-BF00-AD999837ACDF}">
  <dimension ref="A3:R93"/>
  <sheetViews>
    <sheetView topLeftCell="I71" zoomScale="162" workbookViewId="0">
      <selection activeCell="K87" sqref="K87"/>
    </sheetView>
  </sheetViews>
  <sheetFormatPr defaultRowHeight="15" x14ac:dyDescent="0.25"/>
  <cols>
    <col min="1" max="1" width="20.85546875" bestFit="1" customWidth="1"/>
    <col min="2" max="2" width="17" bestFit="1" customWidth="1"/>
    <col min="3" max="3" width="5.85546875" bestFit="1" customWidth="1"/>
    <col min="4" max="4" width="6.28515625" bestFit="1" customWidth="1"/>
    <col min="5" max="5" width="9.5703125" bestFit="1" customWidth="1"/>
    <col min="6" max="6" width="11.42578125" bestFit="1" customWidth="1"/>
    <col min="10" max="10" width="13.42578125" bestFit="1" customWidth="1"/>
    <col min="11" max="11" width="14" bestFit="1" customWidth="1"/>
    <col min="12" max="13" width="4" bestFit="1" customWidth="1"/>
    <col min="14" max="14" width="5.140625" bestFit="1" customWidth="1"/>
    <col min="15" max="15" width="4" bestFit="1" customWidth="1"/>
    <col min="16" max="16" width="11.28515625" bestFit="1" customWidth="1"/>
    <col min="17" max="17" width="22" bestFit="1" customWidth="1"/>
    <col min="18" max="18" width="15.140625" bestFit="1" customWidth="1"/>
    <col min="20" max="20" width="9.7109375" bestFit="1" customWidth="1"/>
    <col min="21" max="21" width="22" bestFit="1" customWidth="1"/>
  </cols>
  <sheetData>
    <row r="3" spans="1:12" x14ac:dyDescent="0.25">
      <c r="A3" s="12" t="s">
        <v>2553</v>
      </c>
      <c r="B3" s="12" t="s">
        <v>2562</v>
      </c>
    </row>
    <row r="4" spans="1:12" x14ac:dyDescent="0.25">
      <c r="A4" s="12" t="s">
        <v>2560</v>
      </c>
      <c r="B4" t="s">
        <v>2563</v>
      </c>
      <c r="C4" t="s">
        <v>2564</v>
      </c>
      <c r="D4" t="s">
        <v>2565</v>
      </c>
      <c r="E4" t="s">
        <v>2566</v>
      </c>
      <c r="F4" t="s">
        <v>2561</v>
      </c>
    </row>
    <row r="5" spans="1:12" x14ac:dyDescent="0.25">
      <c r="A5" s="13" t="s">
        <v>44</v>
      </c>
      <c r="B5">
        <v>744</v>
      </c>
      <c r="C5">
        <v>713</v>
      </c>
      <c r="D5">
        <v>90</v>
      </c>
      <c r="E5">
        <v>98</v>
      </c>
      <c r="F5">
        <v>1645</v>
      </c>
      <c r="K5" s="12" t="s">
        <v>2560</v>
      </c>
      <c r="L5" t="s">
        <v>2553</v>
      </c>
    </row>
    <row r="6" spans="1:12" x14ac:dyDescent="0.25">
      <c r="A6" s="13" t="s">
        <v>39</v>
      </c>
      <c r="B6">
        <v>716</v>
      </c>
      <c r="C6">
        <v>598</v>
      </c>
      <c r="D6">
        <v>18</v>
      </c>
      <c r="E6">
        <v>214</v>
      </c>
      <c r="F6">
        <v>1546</v>
      </c>
      <c r="K6" s="13" t="s">
        <v>2563</v>
      </c>
      <c r="L6">
        <v>6272</v>
      </c>
    </row>
    <row r="7" spans="1:12" x14ac:dyDescent="0.25">
      <c r="A7" s="13" t="s">
        <v>26</v>
      </c>
      <c r="B7">
        <v>627</v>
      </c>
      <c r="C7">
        <v>393</v>
      </c>
      <c r="D7">
        <v>29</v>
      </c>
      <c r="E7">
        <v>137</v>
      </c>
      <c r="F7">
        <v>1186</v>
      </c>
      <c r="K7" s="13" t="s">
        <v>2564</v>
      </c>
      <c r="L7">
        <v>4672</v>
      </c>
    </row>
    <row r="8" spans="1:12" x14ac:dyDescent="0.25">
      <c r="A8" s="13" t="s">
        <v>22</v>
      </c>
      <c r="B8">
        <v>568</v>
      </c>
      <c r="C8">
        <v>306</v>
      </c>
      <c r="D8">
        <v>22</v>
      </c>
      <c r="E8">
        <v>16</v>
      </c>
      <c r="F8">
        <v>912</v>
      </c>
      <c r="K8" s="13" t="s">
        <v>2565</v>
      </c>
      <c r="L8">
        <v>317</v>
      </c>
    </row>
    <row r="9" spans="1:12" x14ac:dyDescent="0.25">
      <c r="A9" s="13" t="s">
        <v>54</v>
      </c>
      <c r="B9">
        <v>482</v>
      </c>
      <c r="C9">
        <v>295</v>
      </c>
      <c r="D9">
        <v>8</v>
      </c>
      <c r="E9">
        <v>22</v>
      </c>
      <c r="F9">
        <v>807</v>
      </c>
      <c r="K9" s="13" t="s">
        <v>2566</v>
      </c>
      <c r="L9">
        <v>736</v>
      </c>
    </row>
    <row r="10" spans="1:12" x14ac:dyDescent="0.25">
      <c r="A10" s="13" t="s">
        <v>46</v>
      </c>
      <c r="B10">
        <v>445</v>
      </c>
      <c r="C10">
        <v>202</v>
      </c>
      <c r="D10">
        <v>14</v>
      </c>
      <c r="E10">
        <v>39</v>
      </c>
      <c r="F10">
        <v>700</v>
      </c>
      <c r="K10" s="13" t="s">
        <v>2561</v>
      </c>
      <c r="L10">
        <v>11997</v>
      </c>
    </row>
    <row r="11" spans="1:12" x14ac:dyDescent="0.25">
      <c r="A11" s="13" t="s">
        <v>32</v>
      </c>
      <c r="B11">
        <v>431</v>
      </c>
      <c r="C11">
        <v>187</v>
      </c>
      <c r="D11">
        <v>14</v>
      </c>
      <c r="E11">
        <v>15</v>
      </c>
      <c r="F11">
        <v>647</v>
      </c>
    </row>
    <row r="12" spans="1:12" x14ac:dyDescent="0.25">
      <c r="A12" s="13" t="s">
        <v>16</v>
      </c>
      <c r="B12">
        <v>428</v>
      </c>
      <c r="C12">
        <v>293</v>
      </c>
      <c r="E12">
        <v>24</v>
      </c>
      <c r="F12">
        <v>745</v>
      </c>
    </row>
    <row r="13" spans="1:12" x14ac:dyDescent="0.25">
      <c r="A13" s="13" t="s">
        <v>37</v>
      </c>
      <c r="B13">
        <v>296</v>
      </c>
      <c r="C13">
        <v>275</v>
      </c>
      <c r="D13">
        <v>9</v>
      </c>
      <c r="E13">
        <v>23</v>
      </c>
      <c r="F13">
        <v>603</v>
      </c>
    </row>
    <row r="14" spans="1:12" x14ac:dyDescent="0.25">
      <c r="A14" s="13" t="s">
        <v>42</v>
      </c>
      <c r="B14">
        <v>264</v>
      </c>
      <c r="C14">
        <v>318</v>
      </c>
      <c r="D14">
        <v>15</v>
      </c>
      <c r="E14">
        <v>9</v>
      </c>
      <c r="F14">
        <v>606</v>
      </c>
    </row>
    <row r="15" spans="1:12" x14ac:dyDescent="0.25">
      <c r="A15" s="13" t="s">
        <v>69</v>
      </c>
      <c r="B15">
        <v>234</v>
      </c>
      <c r="C15">
        <v>93</v>
      </c>
      <c r="D15">
        <v>19</v>
      </c>
      <c r="E15">
        <v>24</v>
      </c>
      <c r="F15">
        <v>370</v>
      </c>
    </row>
    <row r="16" spans="1:12" x14ac:dyDescent="0.25">
      <c r="A16" s="13" t="s">
        <v>146</v>
      </c>
      <c r="B16">
        <v>189</v>
      </c>
      <c r="C16">
        <v>168</v>
      </c>
      <c r="D16">
        <v>10</v>
      </c>
      <c r="E16">
        <v>31</v>
      </c>
      <c r="F16">
        <v>398</v>
      </c>
    </row>
    <row r="17" spans="1:18" x14ac:dyDescent="0.25">
      <c r="A17" s="13" t="s">
        <v>67</v>
      </c>
      <c r="B17">
        <v>179</v>
      </c>
      <c r="C17">
        <v>76</v>
      </c>
      <c r="D17">
        <v>3</v>
      </c>
      <c r="F17">
        <v>258</v>
      </c>
    </row>
    <row r="18" spans="1:18" x14ac:dyDescent="0.25">
      <c r="A18" s="13" t="s">
        <v>123</v>
      </c>
      <c r="B18">
        <v>153</v>
      </c>
      <c r="C18">
        <v>246</v>
      </c>
      <c r="D18">
        <v>30</v>
      </c>
      <c r="E18">
        <v>8</v>
      </c>
      <c r="F18">
        <v>437</v>
      </c>
      <c r="J18" s="12" t="s">
        <v>10</v>
      </c>
      <c r="K18" s="12" t="s">
        <v>11</v>
      </c>
      <c r="L18" t="s">
        <v>2553</v>
      </c>
      <c r="M18" t="s">
        <v>2554</v>
      </c>
      <c r="P18" t="str">
        <f t="shared" ref="P18:R19" si="0">J18</f>
        <v>State</v>
      </c>
      <c r="Q18" t="str">
        <f t="shared" si="0"/>
        <v>County</v>
      </c>
      <c r="R18" t="str">
        <f t="shared" si="0"/>
        <v>Sum of Quantity</v>
      </c>
    </row>
    <row r="19" spans="1:18" x14ac:dyDescent="0.25">
      <c r="A19" s="13" t="s">
        <v>30</v>
      </c>
      <c r="B19">
        <v>146</v>
      </c>
      <c r="C19">
        <v>94</v>
      </c>
      <c r="D19">
        <v>4</v>
      </c>
      <c r="E19">
        <v>28</v>
      </c>
      <c r="F19">
        <v>272</v>
      </c>
      <c r="J19" t="s">
        <v>19</v>
      </c>
      <c r="K19" t="s">
        <v>115</v>
      </c>
      <c r="L19">
        <v>579</v>
      </c>
      <c r="M19">
        <v>31884.999999999996</v>
      </c>
      <c r="P19" t="str">
        <f t="shared" si="0"/>
        <v>California</v>
      </c>
      <c r="Q19" t="str">
        <f t="shared" si="0"/>
        <v>Alameda County</v>
      </c>
      <c r="R19">
        <f t="shared" si="0"/>
        <v>579</v>
      </c>
    </row>
    <row r="20" spans="1:18" x14ac:dyDescent="0.25">
      <c r="A20" s="13" t="s">
        <v>135</v>
      </c>
      <c r="B20">
        <v>127</v>
      </c>
      <c r="C20">
        <v>118</v>
      </c>
      <c r="D20">
        <v>13</v>
      </c>
      <c r="E20">
        <v>12</v>
      </c>
      <c r="F20">
        <v>270</v>
      </c>
      <c r="J20" t="s">
        <v>19</v>
      </c>
      <c r="K20" t="s">
        <v>20</v>
      </c>
      <c r="L20">
        <v>1</v>
      </c>
      <c r="M20">
        <v>10.9</v>
      </c>
      <c r="P20" t="str">
        <f t="shared" ref="P20:P76" si="1">J20</f>
        <v>California</v>
      </c>
      <c r="Q20" t="str">
        <f t="shared" ref="Q20:Q76" si="2">K20</f>
        <v>Alpine County</v>
      </c>
      <c r="R20">
        <f t="shared" ref="R20:R76" si="3">L20</f>
        <v>1</v>
      </c>
    </row>
    <row r="21" spans="1:18" x14ac:dyDescent="0.25">
      <c r="A21" s="13" t="s">
        <v>128</v>
      </c>
      <c r="B21">
        <v>99</v>
      </c>
      <c r="C21">
        <v>69</v>
      </c>
      <c r="D21">
        <v>3</v>
      </c>
      <c r="E21">
        <v>24</v>
      </c>
      <c r="F21">
        <v>195</v>
      </c>
      <c r="J21" t="s">
        <v>19</v>
      </c>
      <c r="K21" t="s">
        <v>641</v>
      </c>
      <c r="L21">
        <v>9</v>
      </c>
      <c r="M21">
        <v>800.3</v>
      </c>
      <c r="P21" t="str">
        <f t="shared" si="1"/>
        <v>California</v>
      </c>
      <c r="Q21" t="str">
        <f t="shared" si="2"/>
        <v>Amador County</v>
      </c>
      <c r="R21">
        <f t="shared" si="3"/>
        <v>9</v>
      </c>
    </row>
    <row r="22" spans="1:18" x14ac:dyDescent="0.25">
      <c r="A22" s="13" t="s">
        <v>76</v>
      </c>
      <c r="B22">
        <v>75</v>
      </c>
      <c r="C22">
        <v>103</v>
      </c>
      <c r="D22">
        <v>4</v>
      </c>
      <c r="E22">
        <v>6</v>
      </c>
      <c r="F22">
        <v>188</v>
      </c>
      <c r="J22" t="s">
        <v>19</v>
      </c>
      <c r="K22" t="s">
        <v>967</v>
      </c>
      <c r="L22">
        <v>35</v>
      </c>
      <c r="M22">
        <v>1062.5999999999999</v>
      </c>
      <c r="P22" t="str">
        <f t="shared" si="1"/>
        <v>California</v>
      </c>
      <c r="Q22" t="str">
        <f t="shared" si="2"/>
        <v>Butte County</v>
      </c>
      <c r="R22">
        <f t="shared" si="3"/>
        <v>35</v>
      </c>
    </row>
    <row r="23" spans="1:18" x14ac:dyDescent="0.25">
      <c r="A23" s="13" t="s">
        <v>81</v>
      </c>
      <c r="B23">
        <v>43</v>
      </c>
      <c r="C23">
        <v>90</v>
      </c>
      <c r="D23">
        <v>8</v>
      </c>
      <c r="E23">
        <v>6</v>
      </c>
      <c r="F23">
        <v>147</v>
      </c>
      <c r="J23" t="s">
        <v>19</v>
      </c>
      <c r="K23" t="s">
        <v>84</v>
      </c>
      <c r="L23">
        <v>12</v>
      </c>
      <c r="M23">
        <v>326.20000000000005</v>
      </c>
      <c r="P23" t="str">
        <f t="shared" si="1"/>
        <v>California</v>
      </c>
      <c r="Q23" t="str">
        <f t="shared" si="2"/>
        <v>Calaveras County</v>
      </c>
      <c r="R23">
        <f t="shared" si="3"/>
        <v>12</v>
      </c>
    </row>
    <row r="24" spans="1:18" x14ac:dyDescent="0.25">
      <c r="A24" s="13" t="s">
        <v>171</v>
      </c>
      <c r="B24">
        <v>26</v>
      </c>
      <c r="C24">
        <v>35</v>
      </c>
      <c r="D24">
        <v>4</v>
      </c>
      <c r="F24">
        <v>65</v>
      </c>
      <c r="J24" t="s">
        <v>19</v>
      </c>
      <c r="K24" t="s">
        <v>1383</v>
      </c>
      <c r="L24">
        <v>4</v>
      </c>
      <c r="M24">
        <v>167.5</v>
      </c>
      <c r="P24" t="str">
        <f t="shared" si="1"/>
        <v>California</v>
      </c>
      <c r="Q24" t="str">
        <f t="shared" si="2"/>
        <v>Colusa County</v>
      </c>
      <c r="R24">
        <f t="shared" si="3"/>
        <v>4</v>
      </c>
    </row>
    <row r="25" spans="1:18" x14ac:dyDescent="0.25">
      <c r="A25" s="13" t="s">
        <v>2561</v>
      </c>
      <c r="B25">
        <v>6272</v>
      </c>
      <c r="C25">
        <v>4672</v>
      </c>
      <c r="D25">
        <v>317</v>
      </c>
      <c r="E25">
        <v>736</v>
      </c>
      <c r="F25">
        <v>11997</v>
      </c>
      <c r="J25" t="s">
        <v>19</v>
      </c>
      <c r="K25" t="s">
        <v>24</v>
      </c>
      <c r="L25">
        <v>341</v>
      </c>
      <c r="M25">
        <v>16168.7</v>
      </c>
      <c r="P25" t="str">
        <f t="shared" si="1"/>
        <v>California</v>
      </c>
      <c r="Q25" t="str">
        <f t="shared" si="2"/>
        <v>Contra Costa County</v>
      </c>
      <c r="R25">
        <f t="shared" si="3"/>
        <v>341</v>
      </c>
    </row>
    <row r="26" spans="1:18" x14ac:dyDescent="0.25">
      <c r="J26" t="s">
        <v>19</v>
      </c>
      <c r="K26" t="s">
        <v>2204</v>
      </c>
      <c r="L26">
        <v>13</v>
      </c>
      <c r="M26">
        <v>322.40000000000003</v>
      </c>
      <c r="P26" t="str">
        <f t="shared" si="1"/>
        <v>California</v>
      </c>
      <c r="Q26" t="str">
        <f t="shared" si="2"/>
        <v>Del Norte County</v>
      </c>
      <c r="R26">
        <f t="shared" si="3"/>
        <v>13</v>
      </c>
    </row>
    <row r="27" spans="1:18" x14ac:dyDescent="0.25">
      <c r="J27" t="s">
        <v>19</v>
      </c>
      <c r="K27" t="s">
        <v>437</v>
      </c>
      <c r="L27">
        <v>31</v>
      </c>
      <c r="M27">
        <v>2092.8000000000002</v>
      </c>
      <c r="P27" t="str">
        <f t="shared" si="1"/>
        <v>California</v>
      </c>
      <c r="Q27" t="str">
        <f t="shared" si="2"/>
        <v>El Dorado County</v>
      </c>
      <c r="R27">
        <f t="shared" si="3"/>
        <v>31</v>
      </c>
    </row>
    <row r="28" spans="1:18" x14ac:dyDescent="0.25">
      <c r="J28" t="s">
        <v>19</v>
      </c>
      <c r="K28" t="s">
        <v>28</v>
      </c>
      <c r="L28">
        <v>279</v>
      </c>
      <c r="M28">
        <v>12662.500000000002</v>
      </c>
      <c r="P28" t="str">
        <f t="shared" si="1"/>
        <v>California</v>
      </c>
      <c r="Q28" t="str">
        <f t="shared" si="2"/>
        <v>Fresno County</v>
      </c>
      <c r="R28">
        <f t="shared" si="3"/>
        <v>279</v>
      </c>
    </row>
    <row r="29" spans="1:18" x14ac:dyDescent="0.25">
      <c r="J29" t="s">
        <v>19</v>
      </c>
      <c r="K29" t="s">
        <v>208</v>
      </c>
      <c r="L29">
        <v>9</v>
      </c>
      <c r="M29">
        <v>343.2</v>
      </c>
      <c r="P29" t="str">
        <f t="shared" si="1"/>
        <v>California</v>
      </c>
      <c r="Q29" t="str">
        <f t="shared" si="2"/>
        <v>Glenn County</v>
      </c>
      <c r="R29">
        <f t="shared" si="3"/>
        <v>9</v>
      </c>
    </row>
    <row r="30" spans="1:18" x14ac:dyDescent="0.25">
      <c r="J30" t="s">
        <v>19</v>
      </c>
      <c r="K30" t="s">
        <v>587</v>
      </c>
      <c r="L30">
        <v>49</v>
      </c>
      <c r="M30">
        <v>2188.2999999999997</v>
      </c>
      <c r="P30" t="str">
        <f t="shared" si="1"/>
        <v>California</v>
      </c>
      <c r="Q30" t="str">
        <f t="shared" si="2"/>
        <v>Humboldt County</v>
      </c>
      <c r="R30">
        <f t="shared" si="3"/>
        <v>49</v>
      </c>
    </row>
    <row r="31" spans="1:18" x14ac:dyDescent="0.25">
      <c r="J31" t="s">
        <v>19</v>
      </c>
      <c r="K31" t="s">
        <v>331</v>
      </c>
      <c r="L31">
        <v>59</v>
      </c>
      <c r="M31">
        <v>2661.5999999999995</v>
      </c>
      <c r="P31" t="str">
        <f t="shared" si="1"/>
        <v>California</v>
      </c>
      <c r="Q31" t="str">
        <f t="shared" si="2"/>
        <v>Imperial County</v>
      </c>
      <c r="R31">
        <f t="shared" si="3"/>
        <v>59</v>
      </c>
    </row>
    <row r="32" spans="1:18" x14ac:dyDescent="0.25">
      <c r="J32" t="s">
        <v>19</v>
      </c>
      <c r="K32" t="s">
        <v>86</v>
      </c>
      <c r="L32">
        <v>8</v>
      </c>
      <c r="M32">
        <v>887.5</v>
      </c>
      <c r="P32" t="str">
        <f t="shared" si="1"/>
        <v>California</v>
      </c>
      <c r="Q32" t="str">
        <f t="shared" si="2"/>
        <v>Inyo County</v>
      </c>
      <c r="R32">
        <f t="shared" si="3"/>
        <v>8</v>
      </c>
    </row>
    <row r="33" spans="1:18" x14ac:dyDescent="0.25">
      <c r="A33" s="12" t="s">
        <v>2569</v>
      </c>
      <c r="B33" s="12" t="s">
        <v>2562</v>
      </c>
      <c r="J33" t="s">
        <v>19</v>
      </c>
      <c r="K33" t="s">
        <v>147</v>
      </c>
      <c r="L33">
        <v>222</v>
      </c>
      <c r="M33">
        <v>11354.199999999993</v>
      </c>
      <c r="P33" t="str">
        <f t="shared" si="1"/>
        <v>California</v>
      </c>
      <c r="Q33" t="str">
        <f t="shared" si="2"/>
        <v>Kern County</v>
      </c>
      <c r="R33">
        <f t="shared" si="3"/>
        <v>222</v>
      </c>
    </row>
    <row r="34" spans="1:18" x14ac:dyDescent="0.25">
      <c r="A34" s="12" t="s">
        <v>2560</v>
      </c>
      <c r="B34" t="s">
        <v>2563</v>
      </c>
      <c r="C34" t="s">
        <v>2564</v>
      </c>
      <c r="D34" t="s">
        <v>2565</v>
      </c>
      <c r="E34" t="s">
        <v>2566</v>
      </c>
      <c r="F34" t="s">
        <v>2561</v>
      </c>
      <c r="J34" t="s">
        <v>19</v>
      </c>
      <c r="K34" t="s">
        <v>334</v>
      </c>
      <c r="L34">
        <v>36</v>
      </c>
      <c r="M34">
        <v>1558.4</v>
      </c>
      <c r="P34" t="str">
        <f t="shared" si="1"/>
        <v>California</v>
      </c>
      <c r="Q34" t="str">
        <f t="shared" si="2"/>
        <v>Kings County</v>
      </c>
      <c r="R34">
        <f t="shared" si="3"/>
        <v>36</v>
      </c>
    </row>
    <row r="35" spans="1:18" x14ac:dyDescent="0.25">
      <c r="A35" s="13" t="s">
        <v>115</v>
      </c>
      <c r="B35">
        <v>69</v>
      </c>
      <c r="C35">
        <v>50</v>
      </c>
      <c r="D35">
        <v>3</v>
      </c>
      <c r="E35">
        <v>10</v>
      </c>
      <c r="F35">
        <v>132</v>
      </c>
      <c r="J35" t="s">
        <v>19</v>
      </c>
      <c r="K35" t="s">
        <v>949</v>
      </c>
      <c r="L35">
        <v>30</v>
      </c>
      <c r="M35">
        <v>2223.9</v>
      </c>
      <c r="P35" t="str">
        <f t="shared" si="1"/>
        <v>California</v>
      </c>
      <c r="Q35" t="str">
        <f t="shared" si="2"/>
        <v>Lake County</v>
      </c>
      <c r="R35">
        <f t="shared" si="3"/>
        <v>30</v>
      </c>
    </row>
    <row r="36" spans="1:18" x14ac:dyDescent="0.25">
      <c r="A36" s="13" t="s">
        <v>20</v>
      </c>
      <c r="E36">
        <v>1</v>
      </c>
      <c r="F36">
        <v>1</v>
      </c>
      <c r="J36" t="s">
        <v>19</v>
      </c>
      <c r="K36" t="s">
        <v>1426</v>
      </c>
      <c r="L36">
        <v>1</v>
      </c>
      <c r="M36">
        <v>26.2</v>
      </c>
      <c r="P36" t="str">
        <f t="shared" si="1"/>
        <v>California</v>
      </c>
      <c r="Q36" t="str">
        <f t="shared" si="2"/>
        <v>Lassen County</v>
      </c>
      <c r="R36">
        <f t="shared" si="3"/>
        <v>1</v>
      </c>
    </row>
    <row r="37" spans="1:18" x14ac:dyDescent="0.25">
      <c r="A37" s="13" t="s">
        <v>641</v>
      </c>
      <c r="B37">
        <v>1</v>
      </c>
      <c r="C37">
        <v>1</v>
      </c>
      <c r="D37">
        <v>2</v>
      </c>
      <c r="F37">
        <v>4</v>
      </c>
      <c r="J37" t="s">
        <v>19</v>
      </c>
      <c r="K37" t="s">
        <v>33</v>
      </c>
      <c r="L37">
        <v>3991</v>
      </c>
      <c r="M37">
        <v>215551.19999999981</v>
      </c>
      <c r="P37" t="str">
        <f t="shared" si="1"/>
        <v>California</v>
      </c>
      <c r="Q37" t="str">
        <f t="shared" si="2"/>
        <v>Los Angeles County</v>
      </c>
      <c r="R37">
        <f t="shared" si="3"/>
        <v>3991</v>
      </c>
    </row>
    <row r="38" spans="1:18" x14ac:dyDescent="0.25">
      <c r="A38" s="13" t="s">
        <v>967</v>
      </c>
      <c r="B38">
        <v>4</v>
      </c>
      <c r="C38">
        <v>1</v>
      </c>
      <c r="F38">
        <v>5</v>
      </c>
      <c r="J38" t="s">
        <v>19</v>
      </c>
      <c r="K38" t="s">
        <v>364</v>
      </c>
      <c r="L38">
        <v>45</v>
      </c>
      <c r="M38">
        <v>2687.3999999999996</v>
      </c>
      <c r="P38" t="str">
        <f t="shared" si="1"/>
        <v>California</v>
      </c>
      <c r="Q38" t="str">
        <f t="shared" si="2"/>
        <v>Madera County</v>
      </c>
      <c r="R38">
        <f t="shared" si="3"/>
        <v>45</v>
      </c>
    </row>
    <row r="39" spans="1:18" x14ac:dyDescent="0.25">
      <c r="A39" s="13" t="s">
        <v>84</v>
      </c>
      <c r="B39">
        <v>1</v>
      </c>
      <c r="C39">
        <v>1</v>
      </c>
      <c r="F39">
        <v>2</v>
      </c>
      <c r="J39" t="s">
        <v>19</v>
      </c>
      <c r="K39" t="s">
        <v>545</v>
      </c>
      <c r="L39">
        <v>39</v>
      </c>
      <c r="M39">
        <v>1463.3000000000002</v>
      </c>
      <c r="P39" t="str">
        <f t="shared" si="1"/>
        <v>California</v>
      </c>
      <c r="Q39" t="str">
        <f t="shared" si="2"/>
        <v>Marin County</v>
      </c>
      <c r="R39">
        <f t="shared" si="3"/>
        <v>39</v>
      </c>
    </row>
    <row r="40" spans="1:18" x14ac:dyDescent="0.25">
      <c r="A40" s="13" t="s">
        <v>1383</v>
      </c>
      <c r="B40">
        <v>1</v>
      </c>
      <c r="C40">
        <v>1</v>
      </c>
      <c r="F40">
        <v>2</v>
      </c>
      <c r="J40" t="s">
        <v>19</v>
      </c>
      <c r="K40" t="s">
        <v>416</v>
      </c>
      <c r="L40">
        <v>6</v>
      </c>
      <c r="M40">
        <v>445.79999999999995</v>
      </c>
      <c r="P40" t="str">
        <f t="shared" si="1"/>
        <v>California</v>
      </c>
      <c r="Q40" t="str">
        <f t="shared" si="2"/>
        <v>Mariposa County</v>
      </c>
      <c r="R40">
        <f t="shared" si="3"/>
        <v>6</v>
      </c>
    </row>
    <row r="41" spans="1:18" x14ac:dyDescent="0.25">
      <c r="A41" s="13" t="s">
        <v>24</v>
      </c>
      <c r="B41">
        <v>37</v>
      </c>
      <c r="C41">
        <v>39</v>
      </c>
      <c r="D41">
        <v>3</v>
      </c>
      <c r="E41">
        <v>4</v>
      </c>
      <c r="F41">
        <v>83</v>
      </c>
      <c r="J41" t="s">
        <v>19</v>
      </c>
      <c r="K41" t="s">
        <v>258</v>
      </c>
      <c r="L41">
        <v>9</v>
      </c>
      <c r="M41">
        <v>273.59999999999997</v>
      </c>
      <c r="P41" t="str">
        <f t="shared" si="1"/>
        <v>California</v>
      </c>
      <c r="Q41" t="str">
        <f t="shared" si="2"/>
        <v>Mendocino County</v>
      </c>
      <c r="R41">
        <f t="shared" si="3"/>
        <v>9</v>
      </c>
    </row>
    <row r="42" spans="1:18" x14ac:dyDescent="0.25">
      <c r="A42" s="13" t="s">
        <v>2204</v>
      </c>
      <c r="C42">
        <v>1</v>
      </c>
      <c r="F42">
        <v>1</v>
      </c>
      <c r="J42" t="s">
        <v>19</v>
      </c>
      <c r="K42" t="s">
        <v>186</v>
      </c>
      <c r="L42">
        <v>60</v>
      </c>
      <c r="M42">
        <v>2690.4</v>
      </c>
      <c r="P42" t="str">
        <f t="shared" si="1"/>
        <v>California</v>
      </c>
      <c r="Q42" t="str">
        <f t="shared" si="2"/>
        <v>Merced County</v>
      </c>
      <c r="R42">
        <f t="shared" si="3"/>
        <v>60</v>
      </c>
    </row>
    <row r="43" spans="1:18" x14ac:dyDescent="0.25">
      <c r="A43" s="13" t="s">
        <v>437</v>
      </c>
      <c r="B43">
        <v>4</v>
      </c>
      <c r="C43">
        <v>2</v>
      </c>
      <c r="F43">
        <v>6</v>
      </c>
      <c r="J43" t="s">
        <v>19</v>
      </c>
      <c r="K43" t="s">
        <v>392</v>
      </c>
      <c r="L43">
        <v>2</v>
      </c>
      <c r="M43">
        <v>28.4</v>
      </c>
      <c r="P43" t="str">
        <f t="shared" si="1"/>
        <v>California</v>
      </c>
      <c r="Q43" t="str">
        <f t="shared" si="2"/>
        <v>Modoc County</v>
      </c>
      <c r="R43">
        <f t="shared" si="3"/>
        <v>2</v>
      </c>
    </row>
    <row r="44" spans="1:18" x14ac:dyDescent="0.25">
      <c r="A44" s="13" t="s">
        <v>28</v>
      </c>
      <c r="B44">
        <v>30</v>
      </c>
      <c r="C44">
        <v>21</v>
      </c>
      <c r="E44">
        <v>1</v>
      </c>
      <c r="F44">
        <v>52</v>
      </c>
      <c r="J44" t="s">
        <v>19</v>
      </c>
      <c r="K44" t="s">
        <v>670</v>
      </c>
      <c r="L44">
        <v>4</v>
      </c>
      <c r="M44">
        <v>204.8</v>
      </c>
      <c r="P44" t="str">
        <f t="shared" si="1"/>
        <v>California</v>
      </c>
      <c r="Q44" t="str">
        <f t="shared" si="2"/>
        <v>Mono County</v>
      </c>
      <c r="R44">
        <f t="shared" si="3"/>
        <v>4</v>
      </c>
    </row>
    <row r="45" spans="1:18" x14ac:dyDescent="0.25">
      <c r="A45" s="13" t="s">
        <v>208</v>
      </c>
      <c r="B45">
        <v>1</v>
      </c>
      <c r="C45">
        <v>2</v>
      </c>
      <c r="F45">
        <v>3</v>
      </c>
      <c r="J45" t="s">
        <v>19</v>
      </c>
      <c r="K45" t="s">
        <v>802</v>
      </c>
      <c r="L45">
        <v>31</v>
      </c>
      <c r="M45">
        <v>1607.8999999999999</v>
      </c>
      <c r="P45" t="str">
        <f t="shared" si="1"/>
        <v>California</v>
      </c>
      <c r="Q45" t="str">
        <f t="shared" si="2"/>
        <v>Monterey County</v>
      </c>
      <c r="R45">
        <f t="shared" si="3"/>
        <v>31</v>
      </c>
    </row>
    <row r="46" spans="1:18" x14ac:dyDescent="0.25">
      <c r="A46" s="13" t="s">
        <v>587</v>
      </c>
      <c r="B46">
        <v>8</v>
      </c>
      <c r="C46">
        <v>3</v>
      </c>
      <c r="D46">
        <v>1</v>
      </c>
      <c r="F46">
        <v>12</v>
      </c>
      <c r="J46" t="s">
        <v>19</v>
      </c>
      <c r="K46" t="s">
        <v>98</v>
      </c>
      <c r="L46">
        <v>88</v>
      </c>
      <c r="M46">
        <v>6444.9</v>
      </c>
      <c r="P46" t="str">
        <f t="shared" si="1"/>
        <v>California</v>
      </c>
      <c r="Q46" t="str">
        <f t="shared" si="2"/>
        <v>Napa County</v>
      </c>
      <c r="R46">
        <f t="shared" si="3"/>
        <v>88</v>
      </c>
    </row>
    <row r="47" spans="1:18" x14ac:dyDescent="0.25">
      <c r="A47" s="13" t="s">
        <v>331</v>
      </c>
      <c r="B47">
        <v>4</v>
      </c>
      <c r="C47">
        <v>4</v>
      </c>
      <c r="D47">
        <v>2</v>
      </c>
      <c r="F47">
        <v>10</v>
      </c>
      <c r="J47" t="s">
        <v>19</v>
      </c>
      <c r="K47" t="s">
        <v>49</v>
      </c>
      <c r="L47">
        <v>25</v>
      </c>
      <c r="M47">
        <v>1809.3</v>
      </c>
      <c r="P47" t="str">
        <f t="shared" si="1"/>
        <v>California</v>
      </c>
      <c r="Q47" t="str">
        <f t="shared" si="2"/>
        <v>Nevada County</v>
      </c>
      <c r="R47">
        <f t="shared" si="3"/>
        <v>25</v>
      </c>
    </row>
    <row r="48" spans="1:18" x14ac:dyDescent="0.25">
      <c r="A48" s="13" t="s">
        <v>86</v>
      </c>
      <c r="C48">
        <v>2</v>
      </c>
      <c r="F48">
        <v>2</v>
      </c>
      <c r="J48" t="s">
        <v>19</v>
      </c>
      <c r="K48" t="s">
        <v>188</v>
      </c>
      <c r="L48">
        <v>178</v>
      </c>
      <c r="M48">
        <v>9680.399999999996</v>
      </c>
      <c r="P48" t="str">
        <f t="shared" si="1"/>
        <v>California</v>
      </c>
      <c r="Q48" t="str">
        <f t="shared" si="2"/>
        <v>Orange County</v>
      </c>
      <c r="R48">
        <f t="shared" si="3"/>
        <v>178</v>
      </c>
    </row>
    <row r="49" spans="1:18" x14ac:dyDescent="0.25">
      <c r="A49" s="13" t="s">
        <v>147</v>
      </c>
      <c r="B49">
        <v>29</v>
      </c>
      <c r="C49">
        <v>24</v>
      </c>
      <c r="D49">
        <v>2</v>
      </c>
      <c r="E49">
        <v>1</v>
      </c>
      <c r="F49">
        <v>56</v>
      </c>
      <c r="J49" t="s">
        <v>19</v>
      </c>
      <c r="K49" t="s">
        <v>52</v>
      </c>
      <c r="L49">
        <v>141</v>
      </c>
      <c r="M49">
        <v>9414.7999999999993</v>
      </c>
      <c r="P49" t="str">
        <f t="shared" si="1"/>
        <v>California</v>
      </c>
      <c r="Q49" t="str">
        <f t="shared" si="2"/>
        <v>Placer County</v>
      </c>
      <c r="R49">
        <f t="shared" si="3"/>
        <v>141</v>
      </c>
    </row>
    <row r="50" spans="1:18" x14ac:dyDescent="0.25">
      <c r="A50" s="13" t="s">
        <v>334</v>
      </c>
      <c r="B50">
        <v>11</v>
      </c>
      <c r="C50">
        <v>3</v>
      </c>
      <c r="F50">
        <v>14</v>
      </c>
      <c r="J50" t="s">
        <v>19</v>
      </c>
      <c r="K50" t="s">
        <v>338</v>
      </c>
      <c r="L50">
        <v>6</v>
      </c>
      <c r="M50">
        <v>206.1</v>
      </c>
      <c r="P50" t="str">
        <f t="shared" si="1"/>
        <v>California</v>
      </c>
      <c r="Q50" t="str">
        <f t="shared" si="2"/>
        <v>Plumas County</v>
      </c>
      <c r="R50">
        <f t="shared" si="3"/>
        <v>6</v>
      </c>
    </row>
    <row r="51" spans="1:18" x14ac:dyDescent="0.25">
      <c r="A51" s="13" t="s">
        <v>949</v>
      </c>
      <c r="B51">
        <v>2</v>
      </c>
      <c r="C51">
        <v>3</v>
      </c>
      <c r="D51">
        <v>1</v>
      </c>
      <c r="F51">
        <v>6</v>
      </c>
      <c r="J51" t="s">
        <v>19</v>
      </c>
      <c r="K51" t="s">
        <v>158</v>
      </c>
      <c r="L51">
        <v>178</v>
      </c>
      <c r="M51">
        <v>7691.3</v>
      </c>
      <c r="P51" t="str">
        <f t="shared" si="1"/>
        <v>California</v>
      </c>
      <c r="Q51" t="str">
        <f t="shared" si="2"/>
        <v>Riverside County</v>
      </c>
      <c r="R51">
        <f t="shared" si="3"/>
        <v>178</v>
      </c>
    </row>
    <row r="52" spans="1:18" x14ac:dyDescent="0.25">
      <c r="A52" s="13" t="s">
        <v>1426</v>
      </c>
      <c r="C52">
        <v>1</v>
      </c>
      <c r="F52">
        <v>1</v>
      </c>
      <c r="J52" t="s">
        <v>19</v>
      </c>
      <c r="K52" t="s">
        <v>55</v>
      </c>
      <c r="L52">
        <v>699</v>
      </c>
      <c r="M52">
        <v>37784.900000000016</v>
      </c>
      <c r="P52" t="str">
        <f t="shared" si="1"/>
        <v>California</v>
      </c>
      <c r="Q52" t="str">
        <f t="shared" si="2"/>
        <v>Sacramento County</v>
      </c>
      <c r="R52">
        <f t="shared" si="3"/>
        <v>699</v>
      </c>
    </row>
    <row r="53" spans="1:18" x14ac:dyDescent="0.25">
      <c r="A53" s="13" t="s">
        <v>33</v>
      </c>
      <c r="B53">
        <v>403</v>
      </c>
      <c r="C53">
        <v>302</v>
      </c>
      <c r="D53">
        <v>29</v>
      </c>
      <c r="E53">
        <v>47</v>
      </c>
      <c r="F53">
        <v>781</v>
      </c>
      <c r="J53" t="s">
        <v>19</v>
      </c>
      <c r="K53" t="s">
        <v>342</v>
      </c>
      <c r="L53">
        <v>23</v>
      </c>
      <c r="M53">
        <v>1129.7</v>
      </c>
      <c r="P53" t="str">
        <f t="shared" si="1"/>
        <v>California</v>
      </c>
      <c r="Q53" t="str">
        <f t="shared" si="2"/>
        <v>San Benito County</v>
      </c>
      <c r="R53">
        <f t="shared" si="3"/>
        <v>23</v>
      </c>
    </row>
    <row r="54" spans="1:18" x14ac:dyDescent="0.25">
      <c r="A54" s="13" t="s">
        <v>364</v>
      </c>
      <c r="B54">
        <v>5</v>
      </c>
      <c r="C54">
        <v>5</v>
      </c>
      <c r="F54">
        <v>10</v>
      </c>
      <c r="J54" t="s">
        <v>19</v>
      </c>
      <c r="K54" t="s">
        <v>59</v>
      </c>
      <c r="L54">
        <v>356</v>
      </c>
      <c r="M54">
        <v>20988.9</v>
      </c>
      <c r="P54" t="str">
        <f t="shared" si="1"/>
        <v>California</v>
      </c>
      <c r="Q54" t="str">
        <f t="shared" si="2"/>
        <v>San Bernardino County</v>
      </c>
      <c r="R54">
        <f t="shared" si="3"/>
        <v>356</v>
      </c>
    </row>
    <row r="55" spans="1:18" x14ac:dyDescent="0.25">
      <c r="A55" s="13" t="s">
        <v>545</v>
      </c>
      <c r="B55">
        <v>4</v>
      </c>
      <c r="C55">
        <v>4</v>
      </c>
      <c r="F55">
        <v>8</v>
      </c>
      <c r="J55" t="s">
        <v>19</v>
      </c>
      <c r="K55" t="s">
        <v>62</v>
      </c>
      <c r="L55">
        <v>1768</v>
      </c>
      <c r="M55">
        <v>98367.099999999977</v>
      </c>
      <c r="P55" t="str">
        <f t="shared" si="1"/>
        <v>California</v>
      </c>
      <c r="Q55" t="str">
        <f t="shared" si="2"/>
        <v>San Diego County</v>
      </c>
      <c r="R55">
        <f t="shared" si="3"/>
        <v>1768</v>
      </c>
    </row>
    <row r="56" spans="1:18" x14ac:dyDescent="0.25">
      <c r="A56" s="13" t="s">
        <v>416</v>
      </c>
      <c r="B56">
        <v>2</v>
      </c>
      <c r="F56">
        <v>2</v>
      </c>
      <c r="J56" t="s">
        <v>19</v>
      </c>
      <c r="K56" t="s">
        <v>103</v>
      </c>
      <c r="L56">
        <v>307</v>
      </c>
      <c r="M56">
        <v>21911.9</v>
      </c>
      <c r="P56" t="str">
        <f t="shared" si="1"/>
        <v>California</v>
      </c>
      <c r="Q56" t="str">
        <f t="shared" si="2"/>
        <v>San Francisco</v>
      </c>
      <c r="R56">
        <f t="shared" si="3"/>
        <v>307</v>
      </c>
    </row>
    <row r="57" spans="1:18" x14ac:dyDescent="0.25">
      <c r="A57" s="13" t="s">
        <v>258</v>
      </c>
      <c r="B57">
        <v>3</v>
      </c>
      <c r="F57">
        <v>3</v>
      </c>
      <c r="J57" t="s">
        <v>19</v>
      </c>
      <c r="K57" t="s">
        <v>201</v>
      </c>
      <c r="L57">
        <v>117</v>
      </c>
      <c r="M57">
        <v>5441.2</v>
      </c>
      <c r="P57" t="str">
        <f t="shared" si="1"/>
        <v>California</v>
      </c>
      <c r="Q57" t="str">
        <f t="shared" si="2"/>
        <v>San Joaquin County</v>
      </c>
      <c r="R57">
        <f t="shared" si="3"/>
        <v>117</v>
      </c>
    </row>
    <row r="58" spans="1:18" x14ac:dyDescent="0.25">
      <c r="A58" s="13" t="s">
        <v>186</v>
      </c>
      <c r="B58">
        <v>6</v>
      </c>
      <c r="C58">
        <v>7</v>
      </c>
      <c r="D58">
        <v>1</v>
      </c>
      <c r="E58">
        <v>1</v>
      </c>
      <c r="F58">
        <v>15</v>
      </c>
      <c r="J58" t="s">
        <v>19</v>
      </c>
      <c r="K58" t="s">
        <v>429</v>
      </c>
      <c r="L58">
        <v>13</v>
      </c>
      <c r="M58">
        <v>392.8</v>
      </c>
      <c r="P58" t="str">
        <f t="shared" si="1"/>
        <v>California</v>
      </c>
      <c r="Q58" t="str">
        <f t="shared" si="2"/>
        <v>San Luis Obispo County</v>
      </c>
      <c r="R58">
        <f t="shared" si="3"/>
        <v>13</v>
      </c>
    </row>
    <row r="59" spans="1:18" x14ac:dyDescent="0.25">
      <c r="A59" s="13" t="s">
        <v>392</v>
      </c>
      <c r="B59">
        <v>1</v>
      </c>
      <c r="F59">
        <v>1</v>
      </c>
      <c r="J59" t="s">
        <v>19</v>
      </c>
      <c r="K59" t="s">
        <v>72</v>
      </c>
      <c r="L59">
        <v>364</v>
      </c>
      <c r="M59">
        <v>16172.000000000005</v>
      </c>
      <c r="P59" t="str">
        <f t="shared" si="1"/>
        <v>California</v>
      </c>
      <c r="Q59" t="str">
        <f t="shared" si="2"/>
        <v>San Mateo County</v>
      </c>
      <c r="R59">
        <f t="shared" si="3"/>
        <v>364</v>
      </c>
    </row>
    <row r="60" spans="1:18" x14ac:dyDescent="0.25">
      <c r="A60" s="13" t="s">
        <v>670</v>
      </c>
      <c r="B60">
        <v>1</v>
      </c>
      <c r="F60">
        <v>1</v>
      </c>
      <c r="J60" t="s">
        <v>19</v>
      </c>
      <c r="K60" t="s">
        <v>74</v>
      </c>
      <c r="L60">
        <v>95</v>
      </c>
      <c r="M60">
        <v>4334.9999999999991</v>
      </c>
      <c r="P60" t="str">
        <f t="shared" si="1"/>
        <v>California</v>
      </c>
      <c r="Q60" t="str">
        <f t="shared" si="2"/>
        <v>Santa Barbara County</v>
      </c>
      <c r="R60">
        <f t="shared" si="3"/>
        <v>95</v>
      </c>
    </row>
    <row r="61" spans="1:18" x14ac:dyDescent="0.25">
      <c r="A61" s="13" t="s">
        <v>802</v>
      </c>
      <c r="B61">
        <v>1</v>
      </c>
      <c r="C61">
        <v>4</v>
      </c>
      <c r="F61">
        <v>5</v>
      </c>
      <c r="J61" t="s">
        <v>19</v>
      </c>
      <c r="K61" t="s">
        <v>77</v>
      </c>
      <c r="L61">
        <v>737</v>
      </c>
      <c r="M61">
        <v>37449.000000000007</v>
      </c>
      <c r="P61" t="str">
        <f t="shared" si="1"/>
        <v>California</v>
      </c>
      <c r="Q61" t="str">
        <f t="shared" si="2"/>
        <v>Santa Clara County</v>
      </c>
      <c r="R61">
        <f t="shared" si="3"/>
        <v>737</v>
      </c>
    </row>
    <row r="62" spans="1:18" x14ac:dyDescent="0.25">
      <c r="A62" s="13" t="s">
        <v>98</v>
      </c>
      <c r="B62">
        <v>5</v>
      </c>
      <c r="C62">
        <v>7</v>
      </c>
      <c r="F62">
        <v>12</v>
      </c>
      <c r="J62" t="s">
        <v>19</v>
      </c>
      <c r="K62" t="s">
        <v>309</v>
      </c>
      <c r="L62">
        <v>39</v>
      </c>
      <c r="M62">
        <v>2447.5</v>
      </c>
      <c r="P62" t="str">
        <f t="shared" si="1"/>
        <v>California</v>
      </c>
      <c r="Q62" t="str">
        <f t="shared" si="2"/>
        <v>Santa Cruz County</v>
      </c>
      <c r="R62">
        <f t="shared" si="3"/>
        <v>39</v>
      </c>
    </row>
    <row r="63" spans="1:18" x14ac:dyDescent="0.25">
      <c r="A63" s="13" t="s">
        <v>49</v>
      </c>
      <c r="B63">
        <v>4</v>
      </c>
      <c r="C63">
        <v>4</v>
      </c>
      <c r="F63">
        <v>8</v>
      </c>
      <c r="J63" t="s">
        <v>19</v>
      </c>
      <c r="K63" t="s">
        <v>1116</v>
      </c>
      <c r="L63">
        <v>56</v>
      </c>
      <c r="M63">
        <v>3391.1</v>
      </c>
      <c r="P63" t="str">
        <f t="shared" si="1"/>
        <v>California</v>
      </c>
      <c r="Q63" t="str">
        <f t="shared" si="2"/>
        <v>Shasta County</v>
      </c>
      <c r="R63">
        <f t="shared" si="3"/>
        <v>56</v>
      </c>
    </row>
    <row r="64" spans="1:18" x14ac:dyDescent="0.25">
      <c r="A64" s="13" t="s">
        <v>188</v>
      </c>
      <c r="B64">
        <v>13</v>
      </c>
      <c r="C64">
        <v>18</v>
      </c>
      <c r="E64">
        <v>1</v>
      </c>
      <c r="F64">
        <v>32</v>
      </c>
      <c r="J64" t="s">
        <v>19</v>
      </c>
      <c r="K64" t="s">
        <v>700</v>
      </c>
      <c r="L64">
        <v>2</v>
      </c>
      <c r="M64">
        <v>30.8</v>
      </c>
      <c r="P64" t="str">
        <f t="shared" si="1"/>
        <v>California</v>
      </c>
      <c r="Q64" t="str">
        <f t="shared" si="2"/>
        <v>Sierra County</v>
      </c>
      <c r="R64">
        <f t="shared" si="3"/>
        <v>2</v>
      </c>
    </row>
    <row r="65" spans="1:18" x14ac:dyDescent="0.25">
      <c r="A65" s="13" t="s">
        <v>52</v>
      </c>
      <c r="B65">
        <v>11</v>
      </c>
      <c r="C65">
        <v>10</v>
      </c>
      <c r="D65">
        <v>1</v>
      </c>
      <c r="F65">
        <v>22</v>
      </c>
      <c r="J65" t="s">
        <v>19</v>
      </c>
      <c r="K65" t="s">
        <v>268</v>
      </c>
      <c r="L65">
        <v>8</v>
      </c>
      <c r="M65">
        <v>332.3</v>
      </c>
      <c r="P65" t="str">
        <f t="shared" si="1"/>
        <v>California</v>
      </c>
      <c r="Q65" t="str">
        <f t="shared" si="2"/>
        <v>Siskiyou County</v>
      </c>
      <c r="R65">
        <f t="shared" si="3"/>
        <v>8</v>
      </c>
    </row>
    <row r="66" spans="1:18" x14ac:dyDescent="0.25">
      <c r="A66" s="13" t="s">
        <v>338</v>
      </c>
      <c r="B66">
        <v>1</v>
      </c>
      <c r="C66">
        <v>1</v>
      </c>
      <c r="F66">
        <v>2</v>
      </c>
      <c r="J66" t="s">
        <v>19</v>
      </c>
      <c r="K66" t="s">
        <v>377</v>
      </c>
      <c r="L66">
        <v>52</v>
      </c>
      <c r="M66">
        <v>3175.9999999999995</v>
      </c>
      <c r="P66" t="str">
        <f t="shared" si="1"/>
        <v>California</v>
      </c>
      <c r="Q66" t="str">
        <f t="shared" si="2"/>
        <v>Solano County</v>
      </c>
      <c r="R66">
        <f t="shared" si="3"/>
        <v>52</v>
      </c>
    </row>
    <row r="67" spans="1:18" x14ac:dyDescent="0.25">
      <c r="A67" s="13" t="s">
        <v>158</v>
      </c>
      <c r="B67">
        <v>19</v>
      </c>
      <c r="C67">
        <v>5</v>
      </c>
      <c r="E67">
        <v>2</v>
      </c>
      <c r="F67">
        <v>26</v>
      </c>
      <c r="J67" t="s">
        <v>19</v>
      </c>
      <c r="K67" t="s">
        <v>108</v>
      </c>
      <c r="L67">
        <v>295</v>
      </c>
      <c r="M67">
        <v>20939.600000000002</v>
      </c>
      <c r="P67" t="str">
        <f t="shared" si="1"/>
        <v>California</v>
      </c>
      <c r="Q67" t="str">
        <f t="shared" si="2"/>
        <v>Sonoma County</v>
      </c>
      <c r="R67">
        <f t="shared" si="3"/>
        <v>295</v>
      </c>
    </row>
    <row r="68" spans="1:18" x14ac:dyDescent="0.25">
      <c r="A68" s="13" t="s">
        <v>55</v>
      </c>
      <c r="B68">
        <v>85</v>
      </c>
      <c r="C68">
        <v>65</v>
      </c>
      <c r="D68">
        <v>4</v>
      </c>
      <c r="E68">
        <v>8</v>
      </c>
      <c r="F68">
        <v>162</v>
      </c>
      <c r="J68" t="s">
        <v>19</v>
      </c>
      <c r="K68" t="s">
        <v>110</v>
      </c>
      <c r="L68">
        <v>195</v>
      </c>
      <c r="M68">
        <v>10185.899999999996</v>
      </c>
      <c r="P68" t="str">
        <f t="shared" si="1"/>
        <v>California</v>
      </c>
      <c r="Q68" t="str">
        <f t="shared" si="2"/>
        <v>Stanislaus County</v>
      </c>
      <c r="R68">
        <f t="shared" si="3"/>
        <v>195</v>
      </c>
    </row>
    <row r="69" spans="1:18" x14ac:dyDescent="0.25">
      <c r="A69" s="13" t="s">
        <v>342</v>
      </c>
      <c r="B69">
        <v>2</v>
      </c>
      <c r="C69">
        <v>4</v>
      </c>
      <c r="F69">
        <v>6</v>
      </c>
      <c r="J69" t="s">
        <v>19</v>
      </c>
      <c r="K69" t="s">
        <v>292</v>
      </c>
      <c r="L69">
        <v>20</v>
      </c>
      <c r="M69">
        <v>958.7</v>
      </c>
      <c r="P69" t="str">
        <f t="shared" si="1"/>
        <v>California</v>
      </c>
      <c r="Q69" t="str">
        <f t="shared" si="2"/>
        <v>Sutter County</v>
      </c>
      <c r="R69">
        <f t="shared" si="3"/>
        <v>20</v>
      </c>
    </row>
    <row r="70" spans="1:18" x14ac:dyDescent="0.25">
      <c r="A70" s="13" t="s">
        <v>59</v>
      </c>
      <c r="B70">
        <v>35</v>
      </c>
      <c r="C70">
        <v>21</v>
      </c>
      <c r="D70">
        <v>3</v>
      </c>
      <c r="E70">
        <v>8</v>
      </c>
      <c r="F70">
        <v>67</v>
      </c>
      <c r="J70" t="s">
        <v>19</v>
      </c>
      <c r="K70" t="s">
        <v>79</v>
      </c>
      <c r="L70">
        <v>6</v>
      </c>
      <c r="M70">
        <v>323</v>
      </c>
      <c r="P70" t="str">
        <f t="shared" si="1"/>
        <v>California</v>
      </c>
      <c r="Q70" t="str">
        <f t="shared" si="2"/>
        <v>Tehama County</v>
      </c>
      <c r="R70">
        <f t="shared" si="3"/>
        <v>6</v>
      </c>
    </row>
    <row r="71" spans="1:18" x14ac:dyDescent="0.25">
      <c r="A71" s="13" t="s">
        <v>62</v>
      </c>
      <c r="B71">
        <v>166</v>
      </c>
      <c r="C71">
        <v>145</v>
      </c>
      <c r="D71">
        <v>5</v>
      </c>
      <c r="E71">
        <v>14</v>
      </c>
      <c r="F71">
        <v>330</v>
      </c>
      <c r="J71" t="s">
        <v>19</v>
      </c>
      <c r="K71" t="s">
        <v>608</v>
      </c>
      <c r="L71">
        <v>5</v>
      </c>
      <c r="M71">
        <v>167.70000000000002</v>
      </c>
      <c r="P71" t="str">
        <f t="shared" si="1"/>
        <v>California</v>
      </c>
      <c r="Q71" t="str">
        <f t="shared" si="2"/>
        <v>Trinity County</v>
      </c>
      <c r="R71">
        <f t="shared" si="3"/>
        <v>5</v>
      </c>
    </row>
    <row r="72" spans="1:18" x14ac:dyDescent="0.25">
      <c r="A72" s="13" t="s">
        <v>103</v>
      </c>
      <c r="B72">
        <v>28</v>
      </c>
      <c r="C72">
        <v>27</v>
      </c>
      <c r="D72">
        <v>1</v>
      </c>
      <c r="E72">
        <v>2</v>
      </c>
      <c r="F72">
        <v>58</v>
      </c>
      <c r="J72" t="s">
        <v>19</v>
      </c>
      <c r="K72" t="s">
        <v>113</v>
      </c>
      <c r="L72">
        <v>94</v>
      </c>
      <c r="M72">
        <v>3978.5</v>
      </c>
      <c r="P72" t="str">
        <f t="shared" si="1"/>
        <v>California</v>
      </c>
      <c r="Q72" t="str">
        <f t="shared" si="2"/>
        <v>Tulare County</v>
      </c>
      <c r="R72">
        <f t="shared" si="3"/>
        <v>94</v>
      </c>
    </row>
    <row r="73" spans="1:18" x14ac:dyDescent="0.25">
      <c r="A73" s="13" t="s">
        <v>201</v>
      </c>
      <c r="B73">
        <v>6</v>
      </c>
      <c r="C73">
        <v>10</v>
      </c>
      <c r="D73">
        <v>1</v>
      </c>
      <c r="F73">
        <v>17</v>
      </c>
      <c r="J73" t="s">
        <v>19</v>
      </c>
      <c r="K73" t="s">
        <v>997</v>
      </c>
      <c r="L73">
        <v>28</v>
      </c>
      <c r="M73">
        <v>1405</v>
      </c>
      <c r="P73" t="str">
        <f t="shared" si="1"/>
        <v>California</v>
      </c>
      <c r="Q73" t="str">
        <f t="shared" si="2"/>
        <v>Tuolumne County</v>
      </c>
      <c r="R73">
        <f t="shared" si="3"/>
        <v>28</v>
      </c>
    </row>
    <row r="74" spans="1:18" x14ac:dyDescent="0.25">
      <c r="A74" s="13" t="s">
        <v>429</v>
      </c>
      <c r="B74">
        <v>3</v>
      </c>
      <c r="F74">
        <v>3</v>
      </c>
      <c r="J74" t="s">
        <v>19</v>
      </c>
      <c r="K74" t="s">
        <v>82</v>
      </c>
      <c r="L74">
        <v>179</v>
      </c>
      <c r="M74">
        <v>9869.0999999999985</v>
      </c>
      <c r="P74" t="str">
        <f t="shared" si="1"/>
        <v>California</v>
      </c>
      <c r="Q74" t="str">
        <f t="shared" si="2"/>
        <v>Ventura County</v>
      </c>
      <c r="R74">
        <f t="shared" si="3"/>
        <v>179</v>
      </c>
    </row>
    <row r="75" spans="1:18" x14ac:dyDescent="0.25">
      <c r="A75" s="13" t="s">
        <v>72</v>
      </c>
      <c r="B75">
        <v>35</v>
      </c>
      <c r="C75">
        <v>25</v>
      </c>
      <c r="D75">
        <v>4</v>
      </c>
      <c r="E75">
        <v>3</v>
      </c>
      <c r="F75">
        <v>67</v>
      </c>
      <c r="J75" t="s">
        <v>19</v>
      </c>
      <c r="K75" t="s">
        <v>243</v>
      </c>
      <c r="L75">
        <v>15</v>
      </c>
      <c r="M75">
        <v>615.29999999999995</v>
      </c>
      <c r="P75" t="str">
        <f t="shared" si="1"/>
        <v>California</v>
      </c>
      <c r="Q75" t="str">
        <f t="shared" si="2"/>
        <v>Yolo County</v>
      </c>
      <c r="R75">
        <f t="shared" si="3"/>
        <v>15</v>
      </c>
    </row>
    <row r="76" spans="1:18" x14ac:dyDescent="0.25">
      <c r="A76" s="13" t="s">
        <v>74</v>
      </c>
      <c r="B76">
        <v>6</v>
      </c>
      <c r="C76">
        <v>16</v>
      </c>
      <c r="D76">
        <v>2</v>
      </c>
      <c r="E76">
        <v>3</v>
      </c>
      <c r="F76">
        <v>27</v>
      </c>
      <c r="J76" t="s">
        <v>19</v>
      </c>
      <c r="K76" t="s">
        <v>1911</v>
      </c>
      <c r="L76">
        <v>3</v>
      </c>
      <c r="M76">
        <v>285</v>
      </c>
      <c r="P76" t="str">
        <f t="shared" si="1"/>
        <v>California</v>
      </c>
      <c r="Q76" t="str">
        <f t="shared" si="2"/>
        <v>Yuba County</v>
      </c>
      <c r="R76">
        <f t="shared" si="3"/>
        <v>3</v>
      </c>
    </row>
    <row r="77" spans="1:18" x14ac:dyDescent="0.25">
      <c r="A77" s="13" t="s">
        <v>77</v>
      </c>
      <c r="B77">
        <v>70</v>
      </c>
      <c r="C77">
        <v>47</v>
      </c>
      <c r="D77">
        <v>4</v>
      </c>
      <c r="E77">
        <v>14</v>
      </c>
      <c r="F77">
        <v>135</v>
      </c>
    </row>
    <row r="78" spans="1:18" x14ac:dyDescent="0.25">
      <c r="A78" s="13" t="s">
        <v>309</v>
      </c>
      <c r="B78">
        <v>4</v>
      </c>
      <c r="C78">
        <v>2</v>
      </c>
      <c r="F78">
        <v>6</v>
      </c>
    </row>
    <row r="79" spans="1:18" x14ac:dyDescent="0.25">
      <c r="A79" s="13" t="s">
        <v>1116</v>
      </c>
      <c r="B79">
        <v>4</v>
      </c>
      <c r="C79">
        <v>3</v>
      </c>
      <c r="E79">
        <v>1</v>
      </c>
      <c r="F79">
        <v>8</v>
      </c>
    </row>
    <row r="80" spans="1:18" x14ac:dyDescent="0.25">
      <c r="A80" s="13" t="s">
        <v>700</v>
      </c>
      <c r="B80">
        <v>1</v>
      </c>
      <c r="F80">
        <v>1</v>
      </c>
    </row>
    <row r="81" spans="1:11" x14ac:dyDescent="0.25">
      <c r="A81" s="13" t="s">
        <v>268</v>
      </c>
      <c r="B81">
        <v>2</v>
      </c>
      <c r="C81">
        <v>2</v>
      </c>
      <c r="F81">
        <v>4</v>
      </c>
    </row>
    <row r="82" spans="1:11" x14ac:dyDescent="0.25">
      <c r="A82" s="13" t="s">
        <v>377</v>
      </c>
      <c r="B82">
        <v>2</v>
      </c>
      <c r="C82">
        <v>3</v>
      </c>
      <c r="F82">
        <v>5</v>
      </c>
    </row>
    <row r="83" spans="1:11" x14ac:dyDescent="0.25">
      <c r="A83" s="13" t="s">
        <v>108</v>
      </c>
      <c r="B83">
        <v>26</v>
      </c>
      <c r="C83">
        <v>15</v>
      </c>
      <c r="D83">
        <v>2</v>
      </c>
      <c r="E83">
        <v>1</v>
      </c>
      <c r="F83">
        <v>44</v>
      </c>
    </row>
    <row r="84" spans="1:11" x14ac:dyDescent="0.25">
      <c r="A84" s="13" t="s">
        <v>110</v>
      </c>
      <c r="B84">
        <v>28</v>
      </c>
      <c r="C84">
        <v>16</v>
      </c>
      <c r="D84">
        <v>1</v>
      </c>
      <c r="E84">
        <v>6</v>
      </c>
      <c r="F84">
        <v>51</v>
      </c>
    </row>
    <row r="85" spans="1:11" x14ac:dyDescent="0.25">
      <c r="A85" s="13" t="s">
        <v>292</v>
      </c>
      <c r="B85">
        <v>2</v>
      </c>
      <c r="C85">
        <v>3</v>
      </c>
      <c r="D85">
        <v>2</v>
      </c>
      <c r="F85">
        <v>7</v>
      </c>
      <c r="J85" s="12" t="s">
        <v>2560</v>
      </c>
      <c r="K85" t="s">
        <v>2552</v>
      </c>
    </row>
    <row r="86" spans="1:11" x14ac:dyDescent="0.25">
      <c r="A86" s="13" t="s">
        <v>79</v>
      </c>
      <c r="C86">
        <v>1</v>
      </c>
      <c r="E86">
        <v>1</v>
      </c>
      <c r="F86">
        <v>2</v>
      </c>
      <c r="J86" s="13" t="s">
        <v>2570</v>
      </c>
      <c r="K86">
        <v>730</v>
      </c>
    </row>
    <row r="87" spans="1:11" x14ac:dyDescent="0.25">
      <c r="A87" s="13" t="s">
        <v>608</v>
      </c>
      <c r="B87">
        <v>2</v>
      </c>
      <c r="F87">
        <v>2</v>
      </c>
      <c r="J87" s="13" t="s">
        <v>2571</v>
      </c>
      <c r="K87">
        <v>861</v>
      </c>
    </row>
    <row r="88" spans="1:11" x14ac:dyDescent="0.25">
      <c r="A88" s="13" t="s">
        <v>113</v>
      </c>
      <c r="B88">
        <v>12</v>
      </c>
      <c r="C88">
        <v>11</v>
      </c>
      <c r="D88">
        <v>1</v>
      </c>
      <c r="E88">
        <v>1</v>
      </c>
      <c r="F88">
        <v>25</v>
      </c>
      <c r="J88" s="13" t="s">
        <v>2572</v>
      </c>
      <c r="K88">
        <v>809</v>
      </c>
    </row>
    <row r="89" spans="1:11" x14ac:dyDescent="0.25">
      <c r="A89" s="13" t="s">
        <v>997</v>
      </c>
      <c r="B89">
        <v>3</v>
      </c>
      <c r="C89">
        <v>1</v>
      </c>
      <c r="E89">
        <v>1</v>
      </c>
      <c r="F89">
        <v>5</v>
      </c>
      <c r="J89" s="13" t="s">
        <v>2561</v>
      </c>
      <c r="K89">
        <v>2400</v>
      </c>
    </row>
    <row r="90" spans="1:11" x14ac:dyDescent="0.25">
      <c r="A90" s="13" t="s">
        <v>82</v>
      </c>
      <c r="B90">
        <v>24</v>
      </c>
      <c r="C90">
        <v>15</v>
      </c>
      <c r="E90">
        <v>3</v>
      </c>
      <c r="F90">
        <v>42</v>
      </c>
    </row>
    <row r="91" spans="1:11" x14ac:dyDescent="0.25">
      <c r="A91" s="13" t="s">
        <v>243</v>
      </c>
      <c r="B91">
        <v>3</v>
      </c>
      <c r="C91">
        <v>1</v>
      </c>
      <c r="E91">
        <v>1</v>
      </c>
      <c r="F91">
        <v>5</v>
      </c>
    </row>
    <row r="92" spans="1:11" x14ac:dyDescent="0.25">
      <c r="A92" s="13" t="s">
        <v>1911</v>
      </c>
      <c r="B92">
        <v>1</v>
      </c>
      <c r="F92">
        <v>1</v>
      </c>
    </row>
    <row r="93" spans="1:11" x14ac:dyDescent="0.25">
      <c r="A93" s="13" t="s">
        <v>2561</v>
      </c>
      <c r="B93">
        <v>1231</v>
      </c>
      <c r="C93">
        <v>959</v>
      </c>
      <c r="D93">
        <v>75</v>
      </c>
      <c r="E93">
        <v>135</v>
      </c>
      <c r="F93">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S25" sqref="S25"/>
    </sheetView>
  </sheetViews>
  <sheetFormatPr defaultRowHeight="15" x14ac:dyDescent="0.25"/>
  <cols>
    <col min="2" max="2" width="19.140625" bestFit="1" customWidth="1"/>
    <col min="3" max="3" width="8.7109375" bestFit="1" customWidth="1"/>
    <col min="4" max="4" width="9.7109375" bestFit="1" customWidth="1"/>
    <col min="5" max="5" width="8" bestFit="1" customWidth="1"/>
    <col min="6" max="6" width="10.85546875" bestFit="1" customWidth="1"/>
    <col min="7" max="7" width="9.85546875" bestFit="1" customWidth="1"/>
    <col min="8" max="8" width="15.7109375" bestFit="1" customWidth="1"/>
    <col min="9" max="9" width="10.7109375" bestFit="1" customWidth="1"/>
    <col min="10" max="10" width="7.7109375" bestFit="1" customWidth="1"/>
    <col min="11" max="11" width="9.7109375" bestFit="1" customWidth="1"/>
    <col min="12" max="12" width="19.7109375"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0" sqref="B10"/>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H5" sqref="H5"/>
    </sheetView>
  </sheetViews>
  <sheetFormatPr defaultRowHeight="15" x14ac:dyDescent="0.25"/>
  <cols>
    <col min="1" max="1" width="3.28515625" customWidth="1"/>
    <col min="8" max="8" width="37.28515625" customWidth="1"/>
  </cols>
  <sheetData>
    <row r="2" spans="2:8" x14ac:dyDescent="0.25">
      <c r="H2" t="s">
        <v>2548</v>
      </c>
    </row>
    <row r="3" spans="2:8" x14ac:dyDescent="0.25">
      <c r="B3" t="s">
        <v>2518</v>
      </c>
    </row>
    <row r="4" spans="2:8" x14ac:dyDescent="0.25">
      <c r="H4" s="11" t="s">
        <v>2549</v>
      </c>
    </row>
    <row r="5" spans="2:8" x14ac:dyDescent="0.25">
      <c r="B5" t="s">
        <v>2519</v>
      </c>
      <c r="H5" s="11" t="s">
        <v>2550</v>
      </c>
    </row>
    <row r="6" spans="2:8" x14ac:dyDescent="0.25">
      <c r="B6" s="5"/>
      <c r="C6" t="s">
        <v>2520</v>
      </c>
      <c r="D6" t="s">
        <v>2526</v>
      </c>
      <c r="H6" t="s">
        <v>2551</v>
      </c>
    </row>
    <row r="7" spans="2:8" x14ac:dyDescent="0.25">
      <c r="B7" s="6"/>
      <c r="C7" t="s">
        <v>2521</v>
      </c>
      <c r="D7" t="s">
        <v>2527</v>
      </c>
    </row>
    <row r="8" spans="2:8" x14ac:dyDescent="0.25">
      <c r="B8" s="7"/>
      <c r="C8" t="s">
        <v>2522</v>
      </c>
      <c r="D8" t="s">
        <v>2528</v>
      </c>
    </row>
    <row r="9" spans="2:8" x14ac:dyDescent="0.25">
      <c r="B9" s="8"/>
      <c r="C9" t="s">
        <v>2523</v>
      </c>
      <c r="D9" t="s">
        <v>2529</v>
      </c>
    </row>
    <row r="10" spans="2:8" x14ac:dyDescent="0.25">
      <c r="B10" s="9"/>
      <c r="C10" t="s">
        <v>2524</v>
      </c>
      <c r="D10" t="s">
        <v>2530</v>
      </c>
    </row>
    <row r="11" spans="2:8" x14ac:dyDescent="0.25">
      <c r="B11" s="2"/>
      <c r="C11" t="s">
        <v>2525</v>
      </c>
      <c r="D11" t="s">
        <v>2531</v>
      </c>
    </row>
    <row r="13" spans="2:8" x14ac:dyDescent="0.25">
      <c r="B13" t="s">
        <v>2532</v>
      </c>
    </row>
    <row r="14" spans="2:8" x14ac:dyDescent="0.25">
      <c r="B14" t="s">
        <v>2533</v>
      </c>
      <c r="C14" t="s">
        <v>2538</v>
      </c>
    </row>
    <row r="15" spans="2:8" x14ac:dyDescent="0.25">
      <c r="B15" t="s">
        <v>2534</v>
      </c>
      <c r="C15" t="s">
        <v>2</v>
      </c>
    </row>
    <row r="16" spans="2:8" x14ac:dyDescent="0.25">
      <c r="B16" t="s">
        <v>2535</v>
      </c>
      <c r="C16" t="s">
        <v>4</v>
      </c>
    </row>
    <row r="17" spans="2:3" x14ac:dyDescent="0.25">
      <c r="B17" t="s">
        <v>2536</v>
      </c>
      <c r="C17" t="s">
        <v>2539</v>
      </c>
    </row>
    <row r="18" spans="2:3" x14ac:dyDescent="0.25">
      <c r="B18" t="s">
        <v>2537</v>
      </c>
      <c r="C18" t="s">
        <v>2540</v>
      </c>
    </row>
    <row r="21" spans="2:3" x14ac:dyDescent="0.25">
      <c r="B21" t="s">
        <v>2541</v>
      </c>
    </row>
    <row r="22" spans="2:3" x14ac:dyDescent="0.25">
      <c r="B22" t="s">
        <v>2542</v>
      </c>
      <c r="C22" t="s">
        <v>2543</v>
      </c>
    </row>
    <row r="23" spans="2:3" x14ac:dyDescent="0.25">
      <c r="B23" t="s">
        <v>2544</v>
      </c>
      <c r="C23" t="s">
        <v>2545</v>
      </c>
    </row>
    <row r="24" spans="2:3" x14ac:dyDescent="0.25">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38DD-1691-4146-847B-A58A009DF57C}">
  <dimension ref="A3:Q25"/>
  <sheetViews>
    <sheetView topLeftCell="A11" zoomScale="96" workbookViewId="0">
      <selection activeCell="J41" sqref="J41"/>
    </sheetView>
  </sheetViews>
  <sheetFormatPr defaultRowHeight="15" x14ac:dyDescent="0.25"/>
  <cols>
    <col min="1" max="1" width="14" bestFit="1" customWidth="1"/>
    <col min="2" max="2" width="15.5703125" bestFit="1" customWidth="1"/>
    <col min="3" max="3" width="14.85546875" bestFit="1" customWidth="1"/>
    <col min="4" max="4" width="18.7109375" bestFit="1" customWidth="1"/>
    <col min="5" max="5" width="25" bestFit="1" customWidth="1"/>
    <col min="6" max="6" width="16.85546875" bestFit="1" customWidth="1"/>
    <col min="7" max="7" width="7.42578125" bestFit="1" customWidth="1"/>
    <col min="8" max="8" width="6.42578125" bestFit="1" customWidth="1"/>
    <col min="9" max="9" width="9.28515625" bestFit="1" customWidth="1"/>
    <col min="10" max="10" width="11.28515625" bestFit="1" customWidth="1"/>
    <col min="11" max="11" width="10" bestFit="1" customWidth="1"/>
    <col min="12" max="12" width="12.5703125" bestFit="1" customWidth="1"/>
    <col min="13" max="13" width="11.28515625" bestFit="1" customWidth="1"/>
  </cols>
  <sheetData>
    <row r="3" spans="1:17" x14ac:dyDescent="0.25">
      <c r="H3" t="s">
        <v>2557</v>
      </c>
    </row>
    <row r="4" spans="1:17" x14ac:dyDescent="0.25">
      <c r="A4" t="s">
        <v>2552</v>
      </c>
      <c r="B4" t="s">
        <v>2553</v>
      </c>
      <c r="C4" t="s">
        <v>2554</v>
      </c>
      <c r="D4" t="s">
        <v>2555</v>
      </c>
      <c r="E4" t="s">
        <v>2556</v>
      </c>
      <c r="H4" t="s">
        <v>2538</v>
      </c>
      <c r="I4" t="s">
        <v>2</v>
      </c>
      <c r="J4" t="s">
        <v>4</v>
      </c>
      <c r="K4" t="s">
        <v>2558</v>
      </c>
      <c r="L4" t="s">
        <v>2559</v>
      </c>
    </row>
    <row r="5" spans="1:17" x14ac:dyDescent="0.25">
      <c r="A5">
        <v>2400</v>
      </c>
      <c r="B5">
        <v>11997</v>
      </c>
      <c r="C5">
        <v>649019.80000000144</v>
      </c>
      <c r="D5">
        <v>3.9620833333333332</v>
      </c>
      <c r="E5">
        <v>2.3424999999999998</v>
      </c>
      <c r="H5" t="str">
        <f>TEXT(A5,"#,##")</f>
        <v>2,400</v>
      </c>
      <c r="I5" t="str">
        <f>TEXT(B5,"#,##")</f>
        <v>11,997</v>
      </c>
      <c r="J5" t="str">
        <f>TEXT(C5,"$#,##,.0k")</f>
        <v>$649.0k</v>
      </c>
      <c r="K5" t="str">
        <f>TEXT(D5,"0.0")</f>
        <v>4.0</v>
      </c>
      <c r="L5" t="str">
        <f>TEXT(E5,"0.0")</f>
        <v>2.3</v>
      </c>
    </row>
    <row r="11" spans="1:17" x14ac:dyDescent="0.25">
      <c r="A11" s="12" t="s">
        <v>2560</v>
      </c>
      <c r="B11" t="s">
        <v>2553</v>
      </c>
      <c r="C11" t="s">
        <v>2554</v>
      </c>
      <c r="M11" t="s">
        <v>2567</v>
      </c>
    </row>
    <row r="12" spans="1:17" ht="9.75" customHeight="1" x14ac:dyDescent="0.25">
      <c r="A12" s="13">
        <v>1</v>
      </c>
      <c r="B12">
        <v>546</v>
      </c>
      <c r="C12" s="14">
        <v>32413.300000000003</v>
      </c>
      <c r="E12" s="12" t="s">
        <v>2554</v>
      </c>
      <c r="F12" s="12" t="s">
        <v>2562</v>
      </c>
    </row>
    <row r="13" spans="1:17" ht="26.25" customHeight="1" x14ac:dyDescent="0.25">
      <c r="A13" s="13">
        <v>2</v>
      </c>
      <c r="B13">
        <v>905</v>
      </c>
      <c r="C13" s="14">
        <v>49562.999999999993</v>
      </c>
      <c r="E13" s="12" t="s">
        <v>2560</v>
      </c>
      <c r="F13" t="s">
        <v>2563</v>
      </c>
      <c r="G13" t="s">
        <v>2564</v>
      </c>
      <c r="H13" t="s">
        <v>2565</v>
      </c>
      <c r="I13" t="s">
        <v>2566</v>
      </c>
      <c r="J13" t="s">
        <v>2561</v>
      </c>
      <c r="N13" t="str">
        <f>F13</f>
        <v>Female</v>
      </c>
      <c r="O13" t="str">
        <f t="shared" ref="O13:Q14" si="0">G13</f>
        <v>Male</v>
      </c>
      <c r="P13" t="str">
        <f t="shared" si="0"/>
        <v>Other</v>
      </c>
      <c r="Q13" t="str">
        <f t="shared" si="0"/>
        <v>Unknown</v>
      </c>
    </row>
    <row r="14" spans="1:17" ht="26.25" customHeight="1" x14ac:dyDescent="0.25">
      <c r="A14" s="13">
        <v>3</v>
      </c>
      <c r="B14">
        <v>796</v>
      </c>
      <c r="C14" s="14">
        <v>41700.400000000016</v>
      </c>
      <c r="E14" s="13" t="s">
        <v>18</v>
      </c>
      <c r="F14" s="15">
        <v>0.18961825201634841</v>
      </c>
      <c r="G14" s="15">
        <v>0.12262322351336576</v>
      </c>
      <c r="H14" s="15">
        <v>1.060537752469185E-2</v>
      </c>
      <c r="I14" s="15">
        <v>3.0599220547662797E-2</v>
      </c>
      <c r="J14" s="15">
        <v>0.35344607360206881</v>
      </c>
      <c r="M14" t="str">
        <f>E14</f>
        <v>App</v>
      </c>
      <c r="N14" s="16">
        <f t="shared" ref="N14:Q18" si="1">F14</f>
        <v>0.18961825201634841</v>
      </c>
      <c r="O14" s="16">
        <f t="shared" si="0"/>
        <v>0.12262322351336576</v>
      </c>
      <c r="P14" s="16">
        <f t="shared" si="0"/>
        <v>1.060537752469185E-2</v>
      </c>
      <c r="Q14" s="16">
        <f t="shared" si="0"/>
        <v>3.0599220547662797E-2</v>
      </c>
    </row>
    <row r="15" spans="1:17" ht="26.25" customHeight="1" x14ac:dyDescent="0.25">
      <c r="A15" s="13">
        <v>4</v>
      </c>
      <c r="B15">
        <v>913</v>
      </c>
      <c r="C15" s="14">
        <v>46782.599999999984</v>
      </c>
      <c r="E15" s="13" t="s">
        <v>51</v>
      </c>
      <c r="F15" s="15">
        <v>5.0283982091147303E-2</v>
      </c>
      <c r="G15" s="15">
        <v>4.3060781812819873E-2</v>
      </c>
      <c r="H15" s="15">
        <v>1.5320025675641944E-3</v>
      </c>
      <c r="I15" s="15">
        <v>1.7794988689097006E-2</v>
      </c>
      <c r="J15" s="15">
        <v>0.11267175516062837</v>
      </c>
      <c r="M15" t="str">
        <f>E15</f>
        <v>Instagram</v>
      </c>
      <c r="N15" s="16">
        <f t="shared" si="1"/>
        <v>5.0283982091147303E-2</v>
      </c>
      <c r="O15" s="16">
        <f t="shared" si="1"/>
        <v>4.3060781812819873E-2</v>
      </c>
      <c r="P15" s="16">
        <f t="shared" si="1"/>
        <v>1.5320025675641944E-3</v>
      </c>
      <c r="Q15" s="16">
        <f t="shared" si="1"/>
        <v>1.7794988689097006E-2</v>
      </c>
    </row>
    <row r="16" spans="1:17" ht="26.25" customHeight="1" x14ac:dyDescent="0.25">
      <c r="A16" s="13">
        <v>5</v>
      </c>
      <c r="B16">
        <v>844</v>
      </c>
      <c r="C16" s="14">
        <v>42676.100000000006</v>
      </c>
      <c r="E16" s="13" t="s">
        <v>70</v>
      </c>
      <c r="F16" s="15">
        <v>6.3496059750411282E-2</v>
      </c>
      <c r="G16" s="15">
        <v>4.6071629863988765E-2</v>
      </c>
      <c r="H16" s="15">
        <v>2.306247051322625E-3</v>
      </c>
      <c r="I16" s="15">
        <v>3.8927934093844286E-3</v>
      </c>
      <c r="J16" s="15">
        <v>0.11576673007510711</v>
      </c>
      <c r="M16" t="str">
        <f>E16</f>
        <v>Partner App</v>
      </c>
      <c r="N16" s="16">
        <f t="shared" si="1"/>
        <v>6.3496059750411282E-2</v>
      </c>
      <c r="O16" s="16">
        <f t="shared" si="1"/>
        <v>4.6071629863988765E-2</v>
      </c>
      <c r="P16" s="16">
        <f t="shared" si="1"/>
        <v>2.306247051322625E-3</v>
      </c>
      <c r="Q16" s="16">
        <f t="shared" si="1"/>
        <v>3.8927934093844286E-3</v>
      </c>
    </row>
    <row r="17" spans="1:17" ht="26.25" customHeight="1" x14ac:dyDescent="0.25">
      <c r="A17" s="13">
        <v>6</v>
      </c>
      <c r="B17">
        <v>1202</v>
      </c>
      <c r="C17" s="14">
        <v>62910.7</v>
      </c>
      <c r="E17" s="13" t="s">
        <v>40</v>
      </c>
      <c r="F17" s="15">
        <v>9.6337892927149532E-2</v>
      </c>
      <c r="G17" s="15">
        <v>6.7920115842382611E-2</v>
      </c>
      <c r="H17" s="15">
        <v>5.4979832664581261E-3</v>
      </c>
      <c r="I17" s="15">
        <v>1.2933041488102518E-2</v>
      </c>
      <c r="J17" s="15">
        <v>0.1826890335240928</v>
      </c>
      <c r="M17" t="str">
        <f>E17</f>
        <v>Target.com</v>
      </c>
      <c r="N17" s="16">
        <f t="shared" si="1"/>
        <v>9.6337892927149532E-2</v>
      </c>
      <c r="O17" s="16">
        <f t="shared" si="1"/>
        <v>6.7920115842382611E-2</v>
      </c>
      <c r="P17" s="16">
        <f t="shared" si="1"/>
        <v>5.4979832664581261E-3</v>
      </c>
      <c r="Q17" s="16">
        <f t="shared" si="1"/>
        <v>1.2933041488102518E-2</v>
      </c>
    </row>
    <row r="18" spans="1:17" ht="26.25" customHeight="1" x14ac:dyDescent="0.25">
      <c r="A18" s="13">
        <v>7</v>
      </c>
      <c r="B18">
        <v>935</v>
      </c>
      <c r="C18" s="14">
        <v>50332.200000000004</v>
      </c>
      <c r="E18" s="13" t="s">
        <v>35</v>
      </c>
      <c r="F18" s="15">
        <v>0.12522098709469262</v>
      </c>
      <c r="G18" s="15">
        <v>9.1492740283116228E-2</v>
      </c>
      <c r="H18" s="15">
        <v>6.3042760790965081E-3</v>
      </c>
      <c r="I18" s="15">
        <v>1.2408404181197551E-2</v>
      </c>
      <c r="J18" s="15">
        <v>0.23542640763810288</v>
      </c>
      <c r="M18" t="str">
        <f>E18</f>
        <v>Website</v>
      </c>
      <c r="N18" s="16">
        <f t="shared" si="1"/>
        <v>0.12522098709469262</v>
      </c>
      <c r="O18" s="16">
        <f t="shared" si="1"/>
        <v>9.1492740283116228E-2</v>
      </c>
      <c r="P18" s="16">
        <f t="shared" si="1"/>
        <v>6.3042760790965081E-3</v>
      </c>
      <c r="Q18" s="16">
        <f t="shared" si="1"/>
        <v>1.2408404181197551E-2</v>
      </c>
    </row>
    <row r="19" spans="1:17" x14ac:dyDescent="0.25">
      <c r="A19" s="13">
        <v>8</v>
      </c>
      <c r="B19">
        <v>1128</v>
      </c>
      <c r="C19" s="14">
        <v>58760.599999999977</v>
      </c>
      <c r="E19" s="13" t="s">
        <v>2561</v>
      </c>
      <c r="F19" s="15">
        <v>0.52495717387974916</v>
      </c>
      <c r="G19" s="15">
        <v>0.3711684913156732</v>
      </c>
      <c r="H19" s="15">
        <v>2.6245886489133303E-2</v>
      </c>
      <c r="I19" s="15">
        <v>7.7628448315444312E-2</v>
      </c>
      <c r="J19" s="15">
        <v>1</v>
      </c>
    </row>
    <row r="20" spans="1:17" x14ac:dyDescent="0.25">
      <c r="A20" s="13">
        <v>9</v>
      </c>
      <c r="B20">
        <v>1007</v>
      </c>
      <c r="C20" s="14">
        <v>52017.299999999996</v>
      </c>
    </row>
    <row r="21" spans="1:17" x14ac:dyDescent="0.25">
      <c r="A21" s="13">
        <v>10</v>
      </c>
      <c r="B21">
        <v>1128</v>
      </c>
      <c r="C21" s="14">
        <v>64915.700000000033</v>
      </c>
    </row>
    <row r="22" spans="1:17" x14ac:dyDescent="0.25">
      <c r="A22" s="13">
        <v>11</v>
      </c>
      <c r="B22">
        <v>861</v>
      </c>
      <c r="C22" s="14">
        <v>45943.80000000001</v>
      </c>
      <c r="E22" s="13" t="s">
        <v>2568</v>
      </c>
    </row>
    <row r="23" spans="1:17" x14ac:dyDescent="0.25">
      <c r="A23" s="13">
        <v>12</v>
      </c>
      <c r="B23">
        <v>944</v>
      </c>
      <c r="C23" s="14">
        <v>55077.900000000031</v>
      </c>
    </row>
    <row r="24" spans="1:17" x14ac:dyDescent="0.25">
      <c r="A24" s="13">
        <v>13</v>
      </c>
      <c r="B24">
        <v>788</v>
      </c>
      <c r="C24" s="14">
        <v>45926.19999999999</v>
      </c>
    </row>
    <row r="25" spans="1:17" x14ac:dyDescent="0.25">
      <c r="A25" s="13" t="s">
        <v>2561</v>
      </c>
      <c r="B25">
        <v>11997</v>
      </c>
      <c r="C25" s="14">
        <v>649019.79999999993</v>
      </c>
    </row>
  </sheetData>
  <conditionalFormatting sqref="N14:Q18">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393A-9B31-4FD0-AC33-4EED6AB0743F}">
  <dimension ref="A1"/>
  <sheetViews>
    <sheetView tabSelected="1" zoomScale="91" zoomScaleNormal="91" workbookViewId="0">
      <selection activeCell="AB22" sqref="AB22"/>
    </sheetView>
  </sheetViews>
  <sheetFormatPr defaultRowHeight="15" x14ac:dyDescent="0.25"/>
  <cols>
    <col min="1" max="1" width="5.140625" customWidth="1"/>
    <col min="2" max="2" width="21.140625" customWidth="1"/>
    <col min="3" max="3" width="5.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Data</vt:lpstr>
      <vt:lpstr>Questions &amp; KPIs</vt:lpstr>
      <vt:lpstr>Logo &amp; Colors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 Varsha (FT D AA IN DASS WCC WRTP-OPT DNT)</cp:lastModifiedBy>
  <dcterms:created xsi:type="dcterms:W3CDTF">2025-06-13T02:42:26Z</dcterms:created>
  <dcterms:modified xsi:type="dcterms:W3CDTF">2026-07-30T14:38:41Z</dcterms:modified>
</cp:coreProperties>
</file>